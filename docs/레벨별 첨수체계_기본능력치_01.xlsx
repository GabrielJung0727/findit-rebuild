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5" windowWidth="18315" windowHeight="11655"/>
  </bookViews>
  <sheets>
    <sheet name="level 별 점수체계" sheetId="1" r:id="rId1"/>
    <sheet name="콤보" sheetId="2" r:id="rId2"/>
    <sheet name="아이템" sheetId="3" r:id="rId3"/>
  </sheets>
  <calcPr calcId="125725"/>
</workbook>
</file>

<file path=xl/calcChain.xml><?xml version="1.0" encoding="utf-8"?>
<calcChain xmlns="http://schemas.openxmlformats.org/spreadsheetml/2006/main">
  <c r="E9" i="1"/>
  <c r="E10"/>
  <c r="E11"/>
  <c r="E12"/>
  <c r="E13"/>
  <c r="E14"/>
  <c r="E15"/>
  <c r="E16"/>
  <c r="E8"/>
  <c r="E7"/>
  <c r="M7"/>
  <c r="L7"/>
  <c r="K7"/>
  <c r="J8"/>
  <c r="I8"/>
  <c r="K8" s="1"/>
  <c r="L8" s="1"/>
  <c r="M8" s="1"/>
  <c r="H8"/>
  <c r="D10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2" s="1"/>
  <c r="D73" s="1"/>
  <c r="D74" s="1"/>
  <c r="D75" s="1"/>
  <c r="D76" s="1"/>
  <c r="D77" s="1"/>
  <c r="D78" s="1"/>
  <c r="D79" s="1"/>
  <c r="D80" s="1"/>
  <c r="D81" s="1"/>
  <c r="D82" s="1"/>
  <c r="D83" s="1"/>
  <c r="D84" s="1"/>
  <c r="D85" s="1"/>
  <c r="D86" s="1"/>
  <c r="D87" s="1"/>
  <c r="D88" s="1"/>
  <c r="D89" s="1"/>
  <c r="D90" s="1"/>
  <c r="D91" s="1"/>
  <c r="D92" s="1"/>
  <c r="D93" s="1"/>
  <c r="D94" s="1"/>
  <c r="D95" s="1"/>
  <c r="D96" s="1"/>
  <c r="D97" s="1"/>
  <c r="D98" s="1"/>
  <c r="D99" s="1"/>
  <c r="D100" s="1"/>
  <c r="D101" s="1"/>
  <c r="D102" s="1"/>
  <c r="D103" s="1"/>
  <c r="D104" s="1"/>
  <c r="D105" s="1"/>
  <c r="D106" s="1"/>
  <c r="H106" s="1"/>
  <c r="D9"/>
  <c r="J9" s="1"/>
  <c r="E105" l="1"/>
  <c r="E101"/>
  <c r="E97"/>
  <c r="E93"/>
  <c r="E89"/>
  <c r="E85"/>
  <c r="E81"/>
  <c r="E77"/>
  <c r="E73"/>
  <c r="E69"/>
  <c r="E65"/>
  <c r="E61"/>
  <c r="E57"/>
  <c r="E53"/>
  <c r="E49"/>
  <c r="E45"/>
  <c r="E41"/>
  <c r="E37"/>
  <c r="E33"/>
  <c r="E29"/>
  <c r="E25"/>
  <c r="E21"/>
  <c r="E17"/>
  <c r="E106"/>
  <c r="E102"/>
  <c r="E98"/>
  <c r="E94"/>
  <c r="E90"/>
  <c r="E86"/>
  <c r="E82"/>
  <c r="E78"/>
  <c r="E74"/>
  <c r="E70"/>
  <c r="E66"/>
  <c r="E62"/>
  <c r="E58"/>
  <c r="E54"/>
  <c r="E50"/>
  <c r="E46"/>
  <c r="E42"/>
  <c r="E38"/>
  <c r="E34"/>
  <c r="E30"/>
  <c r="E26"/>
  <c r="E22"/>
  <c r="E18"/>
  <c r="E103"/>
  <c r="E99"/>
  <c r="E95"/>
  <c r="E91"/>
  <c r="E87"/>
  <c r="E83"/>
  <c r="E79"/>
  <c r="E75"/>
  <c r="E71"/>
  <c r="E67"/>
  <c r="E63"/>
  <c r="E59"/>
  <c r="E55"/>
  <c r="E51"/>
  <c r="E47"/>
  <c r="E43"/>
  <c r="E39"/>
  <c r="E35"/>
  <c r="E31"/>
  <c r="E27"/>
  <c r="E23"/>
  <c r="E19"/>
  <c r="E104"/>
  <c r="E100"/>
  <c r="E96"/>
  <c r="E92"/>
  <c r="E88"/>
  <c r="E84"/>
  <c r="E80"/>
  <c r="E76"/>
  <c r="E72"/>
  <c r="E68"/>
  <c r="E64"/>
  <c r="E60"/>
  <c r="E56"/>
  <c r="E52"/>
  <c r="E48"/>
  <c r="E44"/>
  <c r="E40"/>
  <c r="E36"/>
  <c r="E32"/>
  <c r="E28"/>
  <c r="E24"/>
  <c r="E20"/>
  <c r="H9"/>
  <c r="J10"/>
  <c r="I9"/>
  <c r="K9" s="1"/>
  <c r="L9" s="1"/>
  <c r="M9" s="1"/>
  <c r="I13"/>
  <c r="K13" s="1"/>
  <c r="L13" s="1"/>
  <c r="M13" s="1"/>
  <c r="I11"/>
  <c r="K11" s="1"/>
  <c r="L11" s="1"/>
  <c r="M11" s="1"/>
  <c r="J11"/>
  <c r="I12"/>
  <c r="K12" s="1"/>
  <c r="L12" s="1"/>
  <c r="M12" s="1"/>
  <c r="J13"/>
  <c r="I10"/>
  <c r="K10" s="1"/>
  <c r="L10" s="1"/>
  <c r="M10" s="1"/>
  <c r="J12"/>
  <c r="I58"/>
  <c r="K58" s="1"/>
  <c r="L58" s="1"/>
  <c r="M58" s="1"/>
  <c r="I15"/>
  <c r="K15" s="1"/>
  <c r="L15" s="1"/>
  <c r="M15" s="1"/>
  <c r="J85"/>
  <c r="J17"/>
  <c r="I74"/>
  <c r="K74" s="1"/>
  <c r="L74" s="1"/>
  <c r="M74" s="1"/>
  <c r="I16"/>
  <c r="K16" s="1"/>
  <c r="L16" s="1"/>
  <c r="M16" s="1"/>
  <c r="J33"/>
  <c r="J14"/>
  <c r="I90"/>
  <c r="K90" s="1"/>
  <c r="L90" s="1"/>
  <c r="M90" s="1"/>
  <c r="I26"/>
  <c r="K26" s="1"/>
  <c r="L26" s="1"/>
  <c r="M26" s="1"/>
  <c r="J49"/>
  <c r="J15"/>
  <c r="I106"/>
  <c r="K106" s="1"/>
  <c r="L106" s="1"/>
  <c r="M106" s="1"/>
  <c r="I42"/>
  <c r="K42" s="1"/>
  <c r="L42" s="1"/>
  <c r="M42" s="1"/>
  <c r="I14"/>
  <c r="K14" s="1"/>
  <c r="L14" s="1"/>
  <c r="M14" s="1"/>
  <c r="J69"/>
  <c r="J16"/>
  <c r="I94"/>
  <c r="K94" s="1"/>
  <c r="L94" s="1"/>
  <c r="M94" s="1"/>
  <c r="I78"/>
  <c r="K78" s="1"/>
  <c r="L78" s="1"/>
  <c r="M78" s="1"/>
  <c r="I62"/>
  <c r="K62" s="1"/>
  <c r="L62" s="1"/>
  <c r="M62" s="1"/>
  <c r="I46"/>
  <c r="K46" s="1"/>
  <c r="L46" s="1"/>
  <c r="M46" s="1"/>
  <c r="I30"/>
  <c r="K30" s="1"/>
  <c r="L30" s="1"/>
  <c r="M30" s="1"/>
  <c r="J73"/>
  <c r="J53"/>
  <c r="J37"/>
  <c r="J21"/>
  <c r="I98"/>
  <c r="K98" s="1"/>
  <c r="L98" s="1"/>
  <c r="M98" s="1"/>
  <c r="I82"/>
  <c r="K82" s="1"/>
  <c r="L82" s="1"/>
  <c r="M82" s="1"/>
  <c r="I66"/>
  <c r="K66" s="1"/>
  <c r="L66" s="1"/>
  <c r="M66" s="1"/>
  <c r="I50"/>
  <c r="K50" s="1"/>
  <c r="L50" s="1"/>
  <c r="M50" s="1"/>
  <c r="I34"/>
  <c r="K34" s="1"/>
  <c r="L34" s="1"/>
  <c r="M34" s="1"/>
  <c r="I18"/>
  <c r="K18" s="1"/>
  <c r="L18" s="1"/>
  <c r="M18" s="1"/>
  <c r="J77"/>
  <c r="J61"/>
  <c r="J41"/>
  <c r="J25"/>
  <c r="I102"/>
  <c r="K102" s="1"/>
  <c r="L102" s="1"/>
  <c r="M102" s="1"/>
  <c r="I86"/>
  <c r="K86" s="1"/>
  <c r="L86" s="1"/>
  <c r="M86" s="1"/>
  <c r="I70"/>
  <c r="K70" s="1"/>
  <c r="L70" s="1"/>
  <c r="M70" s="1"/>
  <c r="I54"/>
  <c r="K54" s="1"/>
  <c r="L54" s="1"/>
  <c r="M54" s="1"/>
  <c r="I38"/>
  <c r="K38" s="1"/>
  <c r="L38" s="1"/>
  <c r="M38" s="1"/>
  <c r="I22"/>
  <c r="K22" s="1"/>
  <c r="L22" s="1"/>
  <c r="M22" s="1"/>
  <c r="J81"/>
  <c r="J65"/>
  <c r="J45"/>
  <c r="J29"/>
  <c r="J105"/>
  <c r="J101"/>
  <c r="J97"/>
  <c r="J93"/>
  <c r="J89"/>
  <c r="J57"/>
  <c r="I103"/>
  <c r="K103" s="1"/>
  <c r="L103" s="1"/>
  <c r="M103" s="1"/>
  <c r="I99"/>
  <c r="K99" s="1"/>
  <c r="L99" s="1"/>
  <c r="M99" s="1"/>
  <c r="I95"/>
  <c r="K95" s="1"/>
  <c r="L95" s="1"/>
  <c r="M95" s="1"/>
  <c r="I91"/>
  <c r="K91" s="1"/>
  <c r="L91" s="1"/>
  <c r="M91" s="1"/>
  <c r="I87"/>
  <c r="K87" s="1"/>
  <c r="L87" s="1"/>
  <c r="M87" s="1"/>
  <c r="I83"/>
  <c r="K83" s="1"/>
  <c r="L83" s="1"/>
  <c r="M83" s="1"/>
  <c r="I79"/>
  <c r="K79" s="1"/>
  <c r="L79" s="1"/>
  <c r="M79" s="1"/>
  <c r="I75"/>
  <c r="K75" s="1"/>
  <c r="L75" s="1"/>
  <c r="M75" s="1"/>
  <c r="I71"/>
  <c r="K71" s="1"/>
  <c r="L71" s="1"/>
  <c r="M71" s="1"/>
  <c r="I67"/>
  <c r="K67" s="1"/>
  <c r="L67" s="1"/>
  <c r="M67" s="1"/>
  <c r="I63"/>
  <c r="K63" s="1"/>
  <c r="L63" s="1"/>
  <c r="M63" s="1"/>
  <c r="I59"/>
  <c r="K59" s="1"/>
  <c r="L59" s="1"/>
  <c r="M59" s="1"/>
  <c r="I55"/>
  <c r="K55" s="1"/>
  <c r="L55" s="1"/>
  <c r="M55" s="1"/>
  <c r="I51"/>
  <c r="K51" s="1"/>
  <c r="L51" s="1"/>
  <c r="M51" s="1"/>
  <c r="I47"/>
  <c r="K47" s="1"/>
  <c r="L47" s="1"/>
  <c r="M47" s="1"/>
  <c r="I43"/>
  <c r="K43" s="1"/>
  <c r="L43" s="1"/>
  <c r="M43" s="1"/>
  <c r="I39"/>
  <c r="K39" s="1"/>
  <c r="L39" s="1"/>
  <c r="M39" s="1"/>
  <c r="I35"/>
  <c r="K35" s="1"/>
  <c r="L35" s="1"/>
  <c r="M35" s="1"/>
  <c r="I31"/>
  <c r="K31" s="1"/>
  <c r="L31" s="1"/>
  <c r="M31" s="1"/>
  <c r="I27"/>
  <c r="K27" s="1"/>
  <c r="L27" s="1"/>
  <c r="M27" s="1"/>
  <c r="I23"/>
  <c r="K23" s="1"/>
  <c r="L23" s="1"/>
  <c r="M23" s="1"/>
  <c r="I19"/>
  <c r="K19" s="1"/>
  <c r="L19" s="1"/>
  <c r="M19" s="1"/>
  <c r="J106"/>
  <c r="J102"/>
  <c r="J98"/>
  <c r="J94"/>
  <c r="J90"/>
  <c r="J86"/>
  <c r="J82"/>
  <c r="J78"/>
  <c r="J74"/>
  <c r="J70"/>
  <c r="J66"/>
  <c r="J62"/>
  <c r="J58"/>
  <c r="J54"/>
  <c r="J50"/>
  <c r="J46"/>
  <c r="J42"/>
  <c r="J38"/>
  <c r="J34"/>
  <c r="J30"/>
  <c r="J26"/>
  <c r="J22"/>
  <c r="J18"/>
  <c r="I104"/>
  <c r="K104" s="1"/>
  <c r="L104" s="1"/>
  <c r="M104" s="1"/>
  <c r="I100"/>
  <c r="K100" s="1"/>
  <c r="L100" s="1"/>
  <c r="M100" s="1"/>
  <c r="I96"/>
  <c r="K96" s="1"/>
  <c r="L96" s="1"/>
  <c r="M96" s="1"/>
  <c r="I92"/>
  <c r="K92" s="1"/>
  <c r="L92" s="1"/>
  <c r="M92" s="1"/>
  <c r="I88"/>
  <c r="K88" s="1"/>
  <c r="L88" s="1"/>
  <c r="M88" s="1"/>
  <c r="I84"/>
  <c r="K84" s="1"/>
  <c r="L84" s="1"/>
  <c r="M84" s="1"/>
  <c r="I80"/>
  <c r="K80" s="1"/>
  <c r="L80" s="1"/>
  <c r="M80" s="1"/>
  <c r="I76"/>
  <c r="K76" s="1"/>
  <c r="L76" s="1"/>
  <c r="M76" s="1"/>
  <c r="I72"/>
  <c r="K72" s="1"/>
  <c r="L72" s="1"/>
  <c r="M72" s="1"/>
  <c r="I68"/>
  <c r="K68" s="1"/>
  <c r="L68" s="1"/>
  <c r="M68" s="1"/>
  <c r="I64"/>
  <c r="K64" s="1"/>
  <c r="L64" s="1"/>
  <c r="M64" s="1"/>
  <c r="I60"/>
  <c r="K60" s="1"/>
  <c r="L60" s="1"/>
  <c r="M60" s="1"/>
  <c r="I56"/>
  <c r="K56" s="1"/>
  <c r="L56" s="1"/>
  <c r="M56" s="1"/>
  <c r="I52"/>
  <c r="K52" s="1"/>
  <c r="L52" s="1"/>
  <c r="M52" s="1"/>
  <c r="I48"/>
  <c r="K48" s="1"/>
  <c r="L48" s="1"/>
  <c r="M48" s="1"/>
  <c r="I44"/>
  <c r="K44" s="1"/>
  <c r="L44" s="1"/>
  <c r="M44" s="1"/>
  <c r="I40"/>
  <c r="K40" s="1"/>
  <c r="L40" s="1"/>
  <c r="M40" s="1"/>
  <c r="I36"/>
  <c r="K36" s="1"/>
  <c r="L36" s="1"/>
  <c r="M36" s="1"/>
  <c r="I32"/>
  <c r="K32" s="1"/>
  <c r="L32" s="1"/>
  <c r="M32" s="1"/>
  <c r="I28"/>
  <c r="K28" s="1"/>
  <c r="L28" s="1"/>
  <c r="M28" s="1"/>
  <c r="I24"/>
  <c r="K24" s="1"/>
  <c r="L24" s="1"/>
  <c r="M24" s="1"/>
  <c r="I20"/>
  <c r="K20" s="1"/>
  <c r="L20" s="1"/>
  <c r="M20" s="1"/>
  <c r="D107"/>
  <c r="E107" s="1"/>
  <c r="J103"/>
  <c r="J99"/>
  <c r="J95"/>
  <c r="J91"/>
  <c r="J87"/>
  <c r="J83"/>
  <c r="J79"/>
  <c r="J75"/>
  <c r="J71"/>
  <c r="J67"/>
  <c r="J63"/>
  <c r="J59"/>
  <c r="J55"/>
  <c r="J51"/>
  <c r="J47"/>
  <c r="J43"/>
  <c r="J39"/>
  <c r="J35"/>
  <c r="J31"/>
  <c r="J27"/>
  <c r="J23"/>
  <c r="J19"/>
  <c r="I105"/>
  <c r="K105" s="1"/>
  <c r="L105" s="1"/>
  <c r="M105" s="1"/>
  <c r="I101"/>
  <c r="K101" s="1"/>
  <c r="L101" s="1"/>
  <c r="M101" s="1"/>
  <c r="I97"/>
  <c r="K97" s="1"/>
  <c r="L97" s="1"/>
  <c r="M97" s="1"/>
  <c r="I93"/>
  <c r="K93" s="1"/>
  <c r="L93" s="1"/>
  <c r="M93" s="1"/>
  <c r="I89"/>
  <c r="K89" s="1"/>
  <c r="L89" s="1"/>
  <c r="M89" s="1"/>
  <c r="I85"/>
  <c r="K85" s="1"/>
  <c r="L85" s="1"/>
  <c r="M85" s="1"/>
  <c r="I81"/>
  <c r="K81" s="1"/>
  <c r="L81" s="1"/>
  <c r="M81" s="1"/>
  <c r="I77"/>
  <c r="K77" s="1"/>
  <c r="L77" s="1"/>
  <c r="M77" s="1"/>
  <c r="I73"/>
  <c r="K73" s="1"/>
  <c r="L73" s="1"/>
  <c r="M73" s="1"/>
  <c r="I69"/>
  <c r="K69" s="1"/>
  <c r="L69" s="1"/>
  <c r="M69" s="1"/>
  <c r="I65"/>
  <c r="K65" s="1"/>
  <c r="L65" s="1"/>
  <c r="M65" s="1"/>
  <c r="I61"/>
  <c r="K61" s="1"/>
  <c r="L61" s="1"/>
  <c r="M61" s="1"/>
  <c r="I57"/>
  <c r="K57" s="1"/>
  <c r="L57" s="1"/>
  <c r="M57" s="1"/>
  <c r="I53"/>
  <c r="K53" s="1"/>
  <c r="L53" s="1"/>
  <c r="M53" s="1"/>
  <c r="I49"/>
  <c r="K49" s="1"/>
  <c r="L49" s="1"/>
  <c r="M49" s="1"/>
  <c r="I45"/>
  <c r="K45" s="1"/>
  <c r="L45" s="1"/>
  <c r="M45" s="1"/>
  <c r="I41"/>
  <c r="K41" s="1"/>
  <c r="L41" s="1"/>
  <c r="M41" s="1"/>
  <c r="I37"/>
  <c r="K37" s="1"/>
  <c r="L37" s="1"/>
  <c r="M37" s="1"/>
  <c r="I33"/>
  <c r="K33" s="1"/>
  <c r="L33" s="1"/>
  <c r="M33" s="1"/>
  <c r="I29"/>
  <c r="K29" s="1"/>
  <c r="L29" s="1"/>
  <c r="M29" s="1"/>
  <c r="I25"/>
  <c r="K25" s="1"/>
  <c r="L25" s="1"/>
  <c r="M25" s="1"/>
  <c r="I21"/>
  <c r="K21" s="1"/>
  <c r="L21" s="1"/>
  <c r="M21" s="1"/>
  <c r="I17"/>
  <c r="K17" s="1"/>
  <c r="L17" s="1"/>
  <c r="M17" s="1"/>
  <c r="J104"/>
  <c r="J100"/>
  <c r="J96"/>
  <c r="J92"/>
  <c r="J88"/>
  <c r="J84"/>
  <c r="J80"/>
  <c r="J76"/>
  <c r="J72"/>
  <c r="J68"/>
  <c r="J64"/>
  <c r="J60"/>
  <c r="J56"/>
  <c r="J52"/>
  <c r="J48"/>
  <c r="J44"/>
  <c r="J40"/>
  <c r="J36"/>
  <c r="J32"/>
  <c r="J28"/>
  <c r="J24"/>
  <c r="J20"/>
  <c r="H15"/>
  <c r="H11"/>
  <c r="H16"/>
  <c r="H12"/>
  <c r="H17"/>
  <c r="H13"/>
  <c r="H14"/>
  <c r="H10"/>
  <c r="H32"/>
  <c r="H22"/>
  <c r="H34"/>
  <c r="H23"/>
  <c r="H18"/>
  <c r="H24"/>
  <c r="H19"/>
  <c r="H28"/>
  <c r="H20"/>
  <c r="H39"/>
  <c r="H44"/>
  <c r="H87"/>
  <c r="H50"/>
  <c r="H92"/>
  <c r="H54"/>
  <c r="H66"/>
  <c r="H75"/>
  <c r="H96"/>
  <c r="H76"/>
  <c r="H60"/>
  <c r="H103"/>
  <c r="H82"/>
  <c r="H64"/>
  <c r="H98"/>
  <c r="H86"/>
  <c r="H71"/>
  <c r="H55"/>
  <c r="H43"/>
  <c r="H102"/>
  <c r="H91"/>
  <c r="H80"/>
  <c r="H70"/>
  <c r="H59"/>
  <c r="H48"/>
  <c r="H38"/>
  <c r="H27"/>
  <c r="H104"/>
  <c r="H99"/>
  <c r="H94"/>
  <c r="H88"/>
  <c r="H83"/>
  <c r="H78"/>
  <c r="H72"/>
  <c r="H67"/>
  <c r="H62"/>
  <c r="H56"/>
  <c r="H51"/>
  <c r="H46"/>
  <c r="H40"/>
  <c r="H35"/>
  <c r="H30"/>
  <c r="H100"/>
  <c r="H95"/>
  <c r="H90"/>
  <c r="H84"/>
  <c r="H79"/>
  <c r="H74"/>
  <c r="H68"/>
  <c r="H63"/>
  <c r="H58"/>
  <c r="H52"/>
  <c r="H47"/>
  <c r="H42"/>
  <c r="H36"/>
  <c r="H31"/>
  <c r="H26"/>
  <c r="H105"/>
  <c r="H101"/>
  <c r="H97"/>
  <c r="H93"/>
  <c r="H89"/>
  <c r="H85"/>
  <c r="H81"/>
  <c r="H77"/>
  <c r="H73"/>
  <c r="H69"/>
  <c r="H65"/>
  <c r="H61"/>
  <c r="H57"/>
  <c r="H53"/>
  <c r="H49"/>
  <c r="H45"/>
  <c r="H41"/>
  <c r="H37"/>
  <c r="H33"/>
  <c r="H29"/>
  <c r="H25"/>
  <c r="H21"/>
  <c r="J107" l="1"/>
  <c r="I107"/>
  <c r="K107" s="1"/>
  <c r="L107" s="1"/>
  <c r="M107" s="1"/>
  <c r="H107"/>
</calcChain>
</file>

<file path=xl/sharedStrings.xml><?xml version="1.0" encoding="utf-8"?>
<sst xmlns="http://schemas.openxmlformats.org/spreadsheetml/2006/main" count="211" uniqueCount="100">
  <si>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</si>
  <si>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</si>
  <si>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</si>
  <si>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</si>
  <si>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</si>
  <si>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</si>
  <si>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</si>
  <si>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</si>
  <si>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</si>
  <si>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</si>
  <si>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등급</t>
    <phoneticPr fontId="1" type="noConversion"/>
  </si>
  <si>
    <t>레벨</t>
    <phoneticPr fontId="1" type="noConversion"/>
  </si>
  <si>
    <t>점수</t>
    <phoneticPr fontId="1" type="noConversion"/>
  </si>
  <si>
    <t>점수계산변수</t>
    <phoneticPr fontId="1" type="noConversion"/>
  </si>
  <si>
    <t>콤보</t>
    <phoneticPr fontId="1" type="noConversion"/>
  </si>
  <si>
    <t>추가점수</t>
    <phoneticPr fontId="1" type="noConversion"/>
  </si>
  <si>
    <t>체력</t>
    <phoneticPr fontId="1" type="noConversion"/>
  </si>
  <si>
    <t>구름</t>
    <phoneticPr fontId="1" type="noConversion"/>
  </si>
  <si>
    <t>비</t>
    <phoneticPr fontId="1" type="noConversion"/>
  </si>
  <si>
    <t>허리케인</t>
    <phoneticPr fontId="1" type="noConversion"/>
  </si>
  <si>
    <t>지진</t>
    <phoneticPr fontId="1" type="noConversion"/>
  </si>
  <si>
    <t>유성</t>
    <phoneticPr fontId="1" type="noConversion"/>
  </si>
  <si>
    <t>구름이 지나감</t>
    <phoneticPr fontId="1" type="noConversion"/>
  </si>
  <si>
    <t>비가오면서 물결이 발생함</t>
    <phoneticPr fontId="1" type="noConversion"/>
  </si>
  <si>
    <t>허리케인이 발생</t>
    <phoneticPr fontId="1" type="noConversion"/>
  </si>
  <si>
    <t>유성이 떨어지면서 불바다</t>
    <phoneticPr fontId="1" type="noConversion"/>
  </si>
  <si>
    <t>바람</t>
    <phoneticPr fontId="1" type="noConversion"/>
  </si>
  <si>
    <t>작성중</t>
    <phoneticPr fontId="1" type="noConversion"/>
  </si>
  <si>
    <t>총탄</t>
    <phoneticPr fontId="1" type="noConversion"/>
  </si>
  <si>
    <t>수류탄</t>
    <phoneticPr fontId="1" type="noConversion"/>
  </si>
  <si>
    <t>포탄</t>
    <phoneticPr fontId="1" type="noConversion"/>
  </si>
  <si>
    <t>미사일</t>
    <phoneticPr fontId="1" type="noConversion"/>
  </si>
  <si>
    <t>핵폭탄</t>
    <phoneticPr fontId="1" type="noConversion"/>
  </si>
  <si>
    <t>틀린그림에 총탄구멍 발생</t>
    <phoneticPr fontId="1" type="noConversion"/>
  </si>
  <si>
    <t>부분 파괴</t>
    <phoneticPr fontId="1" type="noConversion"/>
  </si>
  <si>
    <t>파괴 후 화염</t>
    <phoneticPr fontId="1" type="noConversion"/>
  </si>
  <si>
    <t>핵 버섯모약 폭발</t>
    <phoneticPr fontId="1" type="noConversion"/>
  </si>
  <si>
    <t>구름이 캐릭터를 가려 검은색 케릭터</t>
    <phoneticPr fontId="1" type="noConversion"/>
  </si>
  <si>
    <t>케릭터 근처에 물이 점점 차는. 비옴</t>
    <phoneticPr fontId="1" type="noConversion"/>
  </si>
  <si>
    <t>허리케인이 불어와 케릭터 날라감</t>
    <phoneticPr fontId="1" type="noConversion"/>
  </si>
  <si>
    <t>번개</t>
    <phoneticPr fontId="1" type="noConversion"/>
  </si>
  <si>
    <t>번개가 케릭터 작렬 뼈 보임</t>
    <phoneticPr fontId="1" type="noConversion"/>
  </si>
  <si>
    <t>구름을 동반한 번개발생</t>
    <phoneticPr fontId="1" type="noConversion"/>
  </si>
  <si>
    <t>유성에 케릭터에 떨어지고 불바다</t>
    <phoneticPr fontId="1" type="noConversion"/>
  </si>
  <si>
    <t>총 맞아 쓰러짐</t>
    <phoneticPr fontId="1" type="noConversion"/>
  </si>
  <si>
    <t>수류탄으로 장난치다 자폭</t>
    <phoneticPr fontId="1" type="noConversion"/>
  </si>
  <si>
    <t>포탄이 떨어져 튕겨져 나감</t>
    <phoneticPr fontId="1" type="noConversion"/>
  </si>
  <si>
    <t>집안에 숨는데 미사일 작렬 창문으로 팅겨져 나옴</t>
    <phoneticPr fontId="1" type="noConversion"/>
  </si>
  <si>
    <t>방사능 표시와 함께 뼈만 남음</t>
    <phoneticPr fontId="1" type="noConversion"/>
  </si>
  <si>
    <t>이름</t>
    <phoneticPr fontId="1" type="noConversion"/>
  </si>
  <si>
    <t>사용체력</t>
    <phoneticPr fontId="1" type="noConversion"/>
  </si>
  <si>
    <t>지속시간</t>
    <phoneticPr fontId="1" type="noConversion"/>
  </si>
  <si>
    <t>효과</t>
    <phoneticPr fontId="1" type="noConversion"/>
  </si>
  <si>
    <t>속성</t>
    <phoneticPr fontId="1" type="noConversion"/>
  </si>
  <si>
    <t>케릭터</t>
    <phoneticPr fontId="1" type="noConversion"/>
  </si>
  <si>
    <t>수비아이템</t>
    <phoneticPr fontId="1" type="noConversion"/>
  </si>
  <si>
    <t>땅</t>
    <phoneticPr fontId="1" type="noConversion"/>
  </si>
  <si>
    <t>우산</t>
    <phoneticPr fontId="1" type="noConversion"/>
  </si>
  <si>
    <t>거울</t>
    <phoneticPr fontId="1" type="noConversion"/>
  </si>
  <si>
    <t>벽돌</t>
    <phoneticPr fontId="1" type="noConversion"/>
  </si>
  <si>
    <t>거미줄</t>
    <phoneticPr fontId="1" type="noConversion"/>
  </si>
  <si>
    <t>땅굴</t>
    <phoneticPr fontId="1" type="noConversion"/>
  </si>
  <si>
    <t>새총</t>
    <phoneticPr fontId="1" type="noConversion"/>
  </si>
  <si>
    <t>하늘</t>
    <phoneticPr fontId="1" type="noConversion"/>
  </si>
  <si>
    <t>낙석</t>
    <phoneticPr fontId="1" type="noConversion"/>
  </si>
  <si>
    <t>해일</t>
    <phoneticPr fontId="1" type="noConversion"/>
  </si>
  <si>
    <t>해일이 몰려와 이미지를 가림</t>
    <phoneticPr fontId="1" type="noConversion"/>
  </si>
  <si>
    <t>해일로 케릭터 떠내려감</t>
    <phoneticPr fontId="1" type="noConversion"/>
  </si>
  <si>
    <t>배</t>
    <phoneticPr fontId="1" type="noConversion"/>
  </si>
  <si>
    <t>돌맹이가 이미지를 파손</t>
    <phoneticPr fontId="1" type="noConversion"/>
  </si>
  <si>
    <t>돌맹이가 떨어져 이미지 가림</t>
    <phoneticPr fontId="1" type="noConversion"/>
  </si>
  <si>
    <t>크레바스와 같은 효과</t>
    <phoneticPr fontId="1" type="noConversion"/>
  </si>
  <si>
    <t>산사태</t>
    <phoneticPr fontId="1" type="noConversion"/>
  </si>
  <si>
    <t>산사태 발생하여 이미지 가림</t>
    <phoneticPr fontId="1" type="noConversion"/>
  </si>
  <si>
    <t>삽</t>
    <phoneticPr fontId="1" type="noConversion"/>
  </si>
  <si>
    <t>접착제</t>
    <phoneticPr fontId="1" type="noConversion"/>
  </si>
  <si>
    <t>새총을 맞아 도망다님</t>
    <phoneticPr fontId="1" type="noConversion"/>
  </si>
  <si>
    <t>차로 지나가다 차에 깔림</t>
    <phoneticPr fontId="1" type="noConversion"/>
  </si>
  <si>
    <t>집에서 산사태 발생하여 깔림</t>
    <phoneticPr fontId="1" type="noConversion"/>
  </si>
  <si>
    <t>크레바스에 빠짐</t>
    <phoneticPr fontId="1" type="noConversion"/>
  </si>
  <si>
    <t>인간</t>
    <phoneticPr fontId="1" type="noConversion"/>
  </si>
  <si>
    <t>메두사의 머리</t>
    <phoneticPr fontId="1" type="noConversion"/>
  </si>
  <si>
    <t>계속</t>
    <phoneticPr fontId="1" type="noConversion"/>
  </si>
  <si>
    <t>이미지가 돌로 덥힘</t>
    <phoneticPr fontId="1" type="noConversion"/>
  </si>
  <si>
    <t>몬스터</t>
    <phoneticPr fontId="1" type="noConversion"/>
  </si>
  <si>
    <t>케릭터가 돌로 변함</t>
    <phoneticPr fontId="1" type="noConversion"/>
  </si>
  <si>
    <t>이벤트용</t>
    <phoneticPr fontId="1" type="noConversion"/>
  </si>
  <si>
    <t>아이템 보너스 시간</t>
    <phoneticPr fontId="1" type="noConversion"/>
  </si>
  <si>
    <t>터치를 몇번해야 사라짐
또는 특정 지역을 터치해야 사라짐</t>
    <phoneticPr fontId="1" type="noConversion"/>
  </si>
  <si>
    <t>게임시간(분)</t>
    <phoneticPr fontId="1" type="noConversion"/>
  </si>
  <si>
    <t>게임시간(시간)</t>
    <phoneticPr fontId="1" type="noConversion"/>
  </si>
  <si>
    <t>게임시간(일)</t>
    <phoneticPr fontId="1" type="noConversion"/>
  </si>
  <si>
    <t>차이</t>
    <phoneticPr fontId="1" type="noConversion"/>
  </si>
  <si>
    <t>** 콤보는 한쪽 게이머가 연속적으로 찾을 때 발생</t>
    <phoneticPr fontId="1" type="noConversion"/>
  </si>
  <si>
    <t>점수계산공식(패자) = 찾은개수 * 50</t>
    <phoneticPr fontId="1" type="noConversion"/>
  </si>
  <si>
    <t>점수계산공식(승자) = 찾은개수 * 50 + 승리포인트 100</t>
    <phoneticPr fontId="1" type="noConversion"/>
  </si>
  <si>
    <t>200 기준</t>
    <phoneticPr fontId="1" type="noConversion"/>
  </si>
  <si>
    <t>게임 수(최대점수 350)</t>
    <phoneticPr fontId="1" type="noConversion"/>
  </si>
  <si>
    <t>게임수 (평균점수 200)</t>
    <phoneticPr fontId="1" type="noConversion"/>
  </si>
  <si>
    <t>게임수 (평균점수 100점)</t>
    <phoneticPr fontId="1" type="noConversion"/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</si>
</sst>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76" formatCode="_-* #,##0.0_-;\-* #,##0.0_-;_-* &quot;-&quot;?_-;_-@_-"/>
    <numFmt numFmtId="177" formatCode="0_ 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41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6" xfId="0" applyBorder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41" fontId="0" fillId="0" borderId="5" xfId="0" applyNumberFormat="1" applyBorder="1">
      <alignment vertical="center"/>
    </xf>
    <xf numFmtId="41" fontId="0" fillId="0" borderId="7" xfId="0" applyNumberFormat="1" applyBorder="1">
      <alignment vertical="center"/>
    </xf>
    <xf numFmtId="41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7" fontId="0" fillId="0" borderId="5" xfId="0" applyNumberFormat="1" applyBorder="1">
      <alignment vertical="center"/>
    </xf>
    <xf numFmtId="177" fontId="0" fillId="0" borderId="6" xfId="0" applyNumberFormat="1" applyBorder="1">
      <alignment vertical="center"/>
    </xf>
    <xf numFmtId="177" fontId="0" fillId="0" borderId="7" xfId="0" applyNumberFormat="1" applyBorder="1">
      <alignment vertical="center"/>
    </xf>
    <xf numFmtId="177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77" fontId="0" fillId="0" borderId="10" xfId="0" applyNumberFormat="1" applyBorder="1">
      <alignment vertical="center"/>
    </xf>
    <xf numFmtId="177" fontId="0" fillId="0" borderId="11" xfId="0" applyNumberForma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1" fontId="0" fillId="0" borderId="11" xfId="0" applyNumberFormat="1" applyBorder="1">
      <alignment vertical="center"/>
    </xf>
    <xf numFmtId="41" fontId="0" fillId="0" borderId="10" xfId="0" applyNumberFormat="1" applyBorder="1">
      <alignment vertical="center"/>
    </xf>
    <xf numFmtId="176" fontId="0" fillId="0" borderId="12" xfId="0" applyNumberFormat="1" applyBorder="1">
      <alignment vertical="center"/>
    </xf>
    <xf numFmtId="177" fontId="0" fillId="0" borderId="12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177" fontId="0" fillId="0" borderId="2" xfId="0" applyNumberFormat="1" applyBorder="1">
      <alignment vertical="center"/>
    </xf>
    <xf numFmtId="177" fontId="0" fillId="0" borderId="3" xfId="0" applyNumberFormat="1" applyBorder="1">
      <alignment vertical="center"/>
    </xf>
    <xf numFmtId="41" fontId="0" fillId="0" borderId="3" xfId="0" applyNumberFormat="1" applyBorder="1">
      <alignment vertical="center"/>
    </xf>
    <xf numFmtId="41" fontId="0" fillId="0" borderId="2" xfId="0" applyNumberFormat="1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1" fontId="0" fillId="0" borderId="17" xfId="0" applyNumberForma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41" fontId="0" fillId="0" borderId="16" xfId="0" applyNumberFormat="1" applyBorder="1">
      <alignment vertical="center"/>
    </xf>
    <xf numFmtId="176" fontId="0" fillId="0" borderId="18" xfId="0" applyNumberFormat="1" applyBorder="1">
      <alignment vertical="center"/>
    </xf>
    <xf numFmtId="177" fontId="0" fillId="0" borderId="16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107"/>
  <sheetViews>
    <sheetView tabSelected="1" zoomScale="85" zoomScaleNormal="85" workbookViewId="0">
      <selection activeCell="J4" sqref="J4"/>
    </sheetView>
  </sheetViews>
  <sheetFormatPr defaultRowHeight="16.5"/>
  <cols>
    <col min="1" max="1" width="3" customWidth="1"/>
    <col min="2" max="3" width="5.25" bestFit="1" customWidth="1"/>
    <col min="4" max="4" width="19.375" bestFit="1" customWidth="1"/>
    <col min="5" max="5" width="17.625" bestFit="1" customWidth="1"/>
    <col min="6" max="6" width="13.5" bestFit="1" customWidth="1"/>
    <col min="8" max="8" width="21.875" bestFit="1" customWidth="1"/>
    <col min="9" max="9" width="21.125" customWidth="1"/>
    <col min="10" max="10" width="24" bestFit="1" customWidth="1"/>
    <col min="11" max="11" width="12.625" bestFit="1" customWidth="1"/>
    <col min="12" max="12" width="14.625" bestFit="1" customWidth="1"/>
    <col min="13" max="13" width="12.625" bestFit="1" customWidth="1"/>
  </cols>
  <sheetData>
    <row r="2" spans="2:13">
      <c r="C2" s="1" t="s">
        <v>95</v>
      </c>
    </row>
    <row r="3" spans="2:13">
      <c r="C3" s="1" t="s">
        <v>94</v>
      </c>
      <c r="L3">
        <v>30</v>
      </c>
    </row>
    <row r="4" spans="2:13">
      <c r="C4" s="1"/>
      <c r="K4">
        <v>60</v>
      </c>
      <c r="L4">
        <v>60</v>
      </c>
      <c r="M4">
        <v>24</v>
      </c>
    </row>
    <row r="5" spans="2:13" ht="17.25" thickBot="1">
      <c r="H5">
        <v>350</v>
      </c>
      <c r="I5">
        <v>200</v>
      </c>
      <c r="J5">
        <v>100</v>
      </c>
      <c r="K5" s="63" t="s">
        <v>96</v>
      </c>
      <c r="L5" s="63"/>
      <c r="M5" s="63"/>
    </row>
    <row r="6" spans="2:13" ht="17.25" thickBot="1">
      <c r="B6" s="35" t="s">
        <v>10</v>
      </c>
      <c r="C6" s="36" t="s">
        <v>11</v>
      </c>
      <c r="D6" s="36" t="s">
        <v>12</v>
      </c>
      <c r="E6" s="36" t="s">
        <v>92</v>
      </c>
      <c r="F6" s="36" t="s">
        <v>13</v>
      </c>
      <c r="G6" s="37" t="s">
        <v>16</v>
      </c>
      <c r="H6" s="35" t="s">
        <v>97</v>
      </c>
      <c r="I6" s="36" t="s">
        <v>98</v>
      </c>
      <c r="J6" s="37" t="s">
        <v>99</v>
      </c>
      <c r="K6" s="35" t="s">
        <v>89</v>
      </c>
      <c r="L6" s="36" t="s">
        <v>90</v>
      </c>
      <c r="M6" s="37" t="s">
        <v>91</v>
      </c>
    </row>
    <row r="7" spans="2:13">
      <c r="B7" s="42">
        <v>0</v>
      </c>
      <c r="C7" s="43">
        <v>0</v>
      </c>
      <c r="D7" s="44">
        <v>0</v>
      </c>
      <c r="E7" s="44">
        <f>D7</f>
        <v>0</v>
      </c>
      <c r="F7" s="44">
        <v>0</v>
      </c>
      <c r="G7" s="45">
        <v>100</v>
      </c>
      <c r="H7" s="46">
        <v>0</v>
      </c>
      <c r="I7" s="44">
        <v>0</v>
      </c>
      <c r="J7" s="45">
        <v>0</v>
      </c>
      <c r="K7" s="47">
        <f>I7*$L$3/$K$4</f>
        <v>0</v>
      </c>
      <c r="L7" s="48">
        <f>K7/$L$4</f>
        <v>0</v>
      </c>
      <c r="M7" s="45">
        <f>L7/$M$4</f>
        <v>0</v>
      </c>
    </row>
    <row r="8" spans="2:13">
      <c r="B8" s="24" t="s">
        <v>0</v>
      </c>
      <c r="C8" s="7">
        <v>1</v>
      </c>
      <c r="D8" s="10">
        <v>5000</v>
      </c>
      <c r="E8" s="10">
        <f>D8-D7</f>
        <v>5000</v>
      </c>
      <c r="F8" s="8">
        <v>1</v>
      </c>
      <c r="G8" s="12">
        <v>110</v>
      </c>
      <c r="H8" s="13">
        <f t="shared" ref="H8:H39" si="0">D8/$H$5</f>
        <v>14.285714285714286</v>
      </c>
      <c r="I8" s="11">
        <f>D8/$I$5</f>
        <v>25</v>
      </c>
      <c r="J8" s="14">
        <f>D8/$J$5</f>
        <v>50</v>
      </c>
      <c r="K8" s="19">
        <f t="shared" ref="K8:K71" si="1">I8*$L$3/$K$4</f>
        <v>12.5</v>
      </c>
      <c r="L8" s="9">
        <f>K8/$L$4+1</f>
        <v>1.2083333333333333</v>
      </c>
      <c r="M8" s="20">
        <f>L8/$M$4+1</f>
        <v>1.0503472222222223</v>
      </c>
    </row>
    <row r="9" spans="2:13">
      <c r="B9" s="24" t="s">
        <v>0</v>
      </c>
      <c r="C9" s="7">
        <v>2</v>
      </c>
      <c r="D9" s="10">
        <f>D8*F9</f>
        <v>10000</v>
      </c>
      <c r="E9" s="10">
        <f t="shared" ref="E9:E72" si="2">D9-D8</f>
        <v>5000</v>
      </c>
      <c r="F9" s="8">
        <v>2</v>
      </c>
      <c r="G9" s="12">
        <v>120</v>
      </c>
      <c r="H9" s="15">
        <f t="shared" si="0"/>
        <v>28.571428571428573</v>
      </c>
      <c r="I9" s="10">
        <f t="shared" ref="I9:I72" si="3">D9/$I$5</f>
        <v>50</v>
      </c>
      <c r="J9" s="14">
        <f t="shared" ref="J9:J72" si="4">D9/$J$5</f>
        <v>100</v>
      </c>
      <c r="K9" s="19">
        <f t="shared" si="1"/>
        <v>25</v>
      </c>
      <c r="L9" s="9">
        <f t="shared" ref="L9:L72" si="5">K9/$L$4+1</f>
        <v>1.4166666666666667</v>
      </c>
      <c r="M9" s="20">
        <f t="shared" ref="M9:M72" si="6">L9/$M$4+1</f>
        <v>1.0590277777777777</v>
      </c>
    </row>
    <row r="10" spans="2:13">
      <c r="B10" s="24" t="s">
        <v>0</v>
      </c>
      <c r="C10" s="7">
        <v>3</v>
      </c>
      <c r="D10" s="10">
        <f t="shared" ref="D10:D73" si="7">D9*F10</f>
        <v>15000</v>
      </c>
      <c r="E10" s="10">
        <f t="shared" si="2"/>
        <v>5000</v>
      </c>
      <c r="F10" s="8">
        <v>1.5</v>
      </c>
      <c r="G10" s="12">
        <v>130</v>
      </c>
      <c r="H10" s="15">
        <f t="shared" si="0"/>
        <v>42.857142857142854</v>
      </c>
      <c r="I10" s="10">
        <f t="shared" si="3"/>
        <v>75</v>
      </c>
      <c r="J10" s="14">
        <f t="shared" si="4"/>
        <v>150</v>
      </c>
      <c r="K10" s="19">
        <f t="shared" si="1"/>
        <v>37.5</v>
      </c>
      <c r="L10" s="9">
        <f t="shared" si="5"/>
        <v>1.625</v>
      </c>
      <c r="M10" s="20">
        <f t="shared" si="6"/>
        <v>1.0677083333333333</v>
      </c>
    </row>
    <row r="11" spans="2:13">
      <c r="B11" s="24" t="s">
        <v>0</v>
      </c>
      <c r="C11" s="7">
        <v>4</v>
      </c>
      <c r="D11" s="10">
        <f t="shared" si="7"/>
        <v>21000</v>
      </c>
      <c r="E11" s="10">
        <f t="shared" si="2"/>
        <v>6000</v>
      </c>
      <c r="F11" s="8">
        <v>1.4</v>
      </c>
      <c r="G11" s="12">
        <v>140</v>
      </c>
      <c r="H11" s="15">
        <f t="shared" si="0"/>
        <v>60</v>
      </c>
      <c r="I11" s="10">
        <f t="shared" si="3"/>
        <v>105</v>
      </c>
      <c r="J11" s="14">
        <f t="shared" si="4"/>
        <v>210</v>
      </c>
      <c r="K11" s="19">
        <f t="shared" si="1"/>
        <v>52.5</v>
      </c>
      <c r="L11" s="9">
        <f t="shared" si="5"/>
        <v>1.875</v>
      </c>
      <c r="M11" s="20">
        <f t="shared" si="6"/>
        <v>1.078125</v>
      </c>
    </row>
    <row r="12" spans="2:13">
      <c r="B12" s="24" t="s">
        <v>0</v>
      </c>
      <c r="C12" s="7">
        <v>5</v>
      </c>
      <c r="D12" s="10">
        <f t="shared" si="7"/>
        <v>27300</v>
      </c>
      <c r="E12" s="10">
        <f t="shared" si="2"/>
        <v>6300</v>
      </c>
      <c r="F12" s="8">
        <v>1.3</v>
      </c>
      <c r="G12" s="12">
        <v>150</v>
      </c>
      <c r="H12" s="15">
        <f t="shared" si="0"/>
        <v>78</v>
      </c>
      <c r="I12" s="10">
        <f t="shared" si="3"/>
        <v>136.5</v>
      </c>
      <c r="J12" s="14">
        <f t="shared" si="4"/>
        <v>273</v>
      </c>
      <c r="K12" s="19">
        <f t="shared" si="1"/>
        <v>68.25</v>
      </c>
      <c r="L12" s="9">
        <f t="shared" si="5"/>
        <v>2.1375000000000002</v>
      </c>
      <c r="M12" s="20">
        <f t="shared" si="6"/>
        <v>1.0890625</v>
      </c>
    </row>
    <row r="13" spans="2:13">
      <c r="B13" s="24" t="s">
        <v>0</v>
      </c>
      <c r="C13" s="7">
        <v>6</v>
      </c>
      <c r="D13" s="10">
        <f t="shared" si="7"/>
        <v>34125</v>
      </c>
      <c r="E13" s="10">
        <f t="shared" si="2"/>
        <v>6825</v>
      </c>
      <c r="F13" s="8">
        <v>1.25</v>
      </c>
      <c r="G13" s="12">
        <v>160</v>
      </c>
      <c r="H13" s="15">
        <f t="shared" si="0"/>
        <v>97.5</v>
      </c>
      <c r="I13" s="10">
        <f t="shared" si="3"/>
        <v>170.625</v>
      </c>
      <c r="J13" s="14">
        <f t="shared" si="4"/>
        <v>341.25</v>
      </c>
      <c r="K13" s="19">
        <f t="shared" si="1"/>
        <v>85.3125</v>
      </c>
      <c r="L13" s="9">
        <f t="shared" si="5"/>
        <v>2.421875</v>
      </c>
      <c r="M13" s="20">
        <f t="shared" si="6"/>
        <v>1.1009114583333333</v>
      </c>
    </row>
    <row r="14" spans="2:13">
      <c r="B14" s="24" t="s">
        <v>0</v>
      </c>
      <c r="C14" s="7">
        <v>7</v>
      </c>
      <c r="D14" s="10">
        <f t="shared" si="7"/>
        <v>42315</v>
      </c>
      <c r="E14" s="10">
        <f t="shared" si="2"/>
        <v>8190</v>
      </c>
      <c r="F14" s="8">
        <v>1.24</v>
      </c>
      <c r="G14" s="12">
        <v>170</v>
      </c>
      <c r="H14" s="15">
        <f t="shared" si="0"/>
        <v>120.9</v>
      </c>
      <c r="I14" s="10">
        <f t="shared" si="3"/>
        <v>211.57499999999999</v>
      </c>
      <c r="J14" s="14">
        <f t="shared" si="4"/>
        <v>423.15</v>
      </c>
      <c r="K14" s="19">
        <f t="shared" si="1"/>
        <v>105.78749999999999</v>
      </c>
      <c r="L14" s="9">
        <f t="shared" si="5"/>
        <v>2.7631249999999996</v>
      </c>
      <c r="M14" s="20">
        <f t="shared" si="6"/>
        <v>1.1151302083333334</v>
      </c>
    </row>
    <row r="15" spans="2:13">
      <c r="B15" s="24" t="s">
        <v>0</v>
      </c>
      <c r="C15" s="7">
        <v>8</v>
      </c>
      <c r="D15" s="10">
        <f t="shared" si="7"/>
        <v>52047.45</v>
      </c>
      <c r="E15" s="10">
        <f t="shared" si="2"/>
        <v>9732.4499999999971</v>
      </c>
      <c r="F15" s="8">
        <v>1.23</v>
      </c>
      <c r="G15" s="12">
        <v>180</v>
      </c>
      <c r="H15" s="15">
        <f t="shared" si="0"/>
        <v>148.70699999999999</v>
      </c>
      <c r="I15" s="10">
        <f t="shared" si="3"/>
        <v>260.23724999999996</v>
      </c>
      <c r="J15" s="14">
        <f t="shared" si="4"/>
        <v>520.47449999999992</v>
      </c>
      <c r="K15" s="19">
        <f t="shared" si="1"/>
        <v>130.11862499999998</v>
      </c>
      <c r="L15" s="9">
        <f t="shared" si="5"/>
        <v>3.1686437499999998</v>
      </c>
      <c r="M15" s="20">
        <f t="shared" si="6"/>
        <v>1.1320268229166666</v>
      </c>
    </row>
    <row r="16" spans="2:13">
      <c r="B16" s="24" t="s">
        <v>0</v>
      </c>
      <c r="C16" s="7">
        <v>9</v>
      </c>
      <c r="D16" s="10">
        <f t="shared" si="7"/>
        <v>63497.888999999996</v>
      </c>
      <c r="E16" s="10">
        <f t="shared" si="2"/>
        <v>11450.438999999998</v>
      </c>
      <c r="F16" s="8">
        <v>1.22</v>
      </c>
      <c r="G16" s="12">
        <v>190</v>
      </c>
      <c r="H16" s="15">
        <f t="shared" si="0"/>
        <v>181.42254</v>
      </c>
      <c r="I16" s="10">
        <f t="shared" si="3"/>
        <v>317.48944499999999</v>
      </c>
      <c r="J16" s="14">
        <f t="shared" si="4"/>
        <v>634.97888999999998</v>
      </c>
      <c r="K16" s="19">
        <f t="shared" si="1"/>
        <v>158.74472249999999</v>
      </c>
      <c r="L16" s="9">
        <f t="shared" si="5"/>
        <v>3.6457453749999997</v>
      </c>
      <c r="M16" s="20">
        <f t="shared" si="6"/>
        <v>1.1519060572916666</v>
      </c>
    </row>
    <row r="17" spans="2:13" ht="17.25" thickBot="1">
      <c r="B17" s="25" t="s">
        <v>0</v>
      </c>
      <c r="C17" s="26">
        <v>10</v>
      </c>
      <c r="D17" s="17">
        <f t="shared" si="7"/>
        <v>76832.445689999993</v>
      </c>
      <c r="E17" s="17">
        <f t="shared" si="2"/>
        <v>13334.556689999998</v>
      </c>
      <c r="F17" s="27">
        <v>1.21</v>
      </c>
      <c r="G17" s="28">
        <v>200</v>
      </c>
      <c r="H17" s="16">
        <f t="shared" si="0"/>
        <v>219.52127339999998</v>
      </c>
      <c r="I17" s="17">
        <f t="shared" si="3"/>
        <v>384.16222844999999</v>
      </c>
      <c r="J17" s="18">
        <f t="shared" si="4"/>
        <v>768.32445689999997</v>
      </c>
      <c r="K17" s="21">
        <f t="shared" si="1"/>
        <v>192.08111422499999</v>
      </c>
      <c r="L17" s="22">
        <f t="shared" si="5"/>
        <v>4.20135190375</v>
      </c>
      <c r="M17" s="23">
        <f t="shared" si="6"/>
        <v>1.1750563293229166</v>
      </c>
    </row>
    <row r="18" spans="2:13">
      <c r="B18" s="42" t="s">
        <v>1</v>
      </c>
      <c r="C18" s="43">
        <v>11</v>
      </c>
      <c r="D18" s="49">
        <f t="shared" si="7"/>
        <v>92198.934827999983</v>
      </c>
      <c r="E18" s="49">
        <f t="shared" si="2"/>
        <v>15366.48913799999</v>
      </c>
      <c r="F18" s="44">
        <v>1.2</v>
      </c>
      <c r="G18" s="45">
        <v>260</v>
      </c>
      <c r="H18" s="50">
        <f t="shared" si="0"/>
        <v>263.42552807999994</v>
      </c>
      <c r="I18" s="49">
        <f t="shared" si="3"/>
        <v>460.99467413999992</v>
      </c>
      <c r="J18" s="51">
        <f t="shared" si="4"/>
        <v>921.98934827999983</v>
      </c>
      <c r="K18" s="47">
        <f t="shared" si="1"/>
        <v>230.49733706999996</v>
      </c>
      <c r="L18" s="48">
        <f t="shared" si="5"/>
        <v>4.8416222844999997</v>
      </c>
      <c r="M18" s="52">
        <f t="shared" si="6"/>
        <v>1.2017342618541667</v>
      </c>
    </row>
    <row r="19" spans="2:13">
      <c r="B19" s="24" t="s">
        <v>1</v>
      </c>
      <c r="C19" s="7">
        <v>12</v>
      </c>
      <c r="D19" s="10">
        <f t="shared" si="7"/>
        <v>109716.73244531997</v>
      </c>
      <c r="E19" s="10">
        <f t="shared" si="2"/>
        <v>17517.797617319986</v>
      </c>
      <c r="F19" s="8">
        <v>1.19</v>
      </c>
      <c r="G19" s="12">
        <v>270</v>
      </c>
      <c r="H19" s="15">
        <f t="shared" si="0"/>
        <v>313.47637841519992</v>
      </c>
      <c r="I19" s="10">
        <f t="shared" si="3"/>
        <v>548.58366222659981</v>
      </c>
      <c r="J19" s="14">
        <f t="shared" si="4"/>
        <v>1097.1673244531996</v>
      </c>
      <c r="K19" s="19">
        <f t="shared" si="1"/>
        <v>274.29183111329991</v>
      </c>
      <c r="L19" s="9">
        <f t="shared" si="5"/>
        <v>5.5715305185549981</v>
      </c>
      <c r="M19" s="20">
        <f t="shared" si="6"/>
        <v>1.2321471049397916</v>
      </c>
    </row>
    <row r="20" spans="2:13">
      <c r="B20" s="24" t="s">
        <v>1</v>
      </c>
      <c r="C20" s="7">
        <v>13</v>
      </c>
      <c r="D20" s="10">
        <f t="shared" si="7"/>
        <v>129465.74428547756</v>
      </c>
      <c r="E20" s="10">
        <f t="shared" si="2"/>
        <v>19749.011840157589</v>
      </c>
      <c r="F20" s="8">
        <v>1.18</v>
      </c>
      <c r="G20" s="12">
        <v>280</v>
      </c>
      <c r="H20" s="15">
        <f t="shared" si="0"/>
        <v>369.90212652993586</v>
      </c>
      <c r="I20" s="10">
        <f t="shared" si="3"/>
        <v>647.32872142738779</v>
      </c>
      <c r="J20" s="14">
        <f t="shared" si="4"/>
        <v>1294.6574428547756</v>
      </c>
      <c r="K20" s="19">
        <f t="shared" si="1"/>
        <v>323.6643607136939</v>
      </c>
      <c r="L20" s="9">
        <f t="shared" si="5"/>
        <v>6.3944060118948984</v>
      </c>
      <c r="M20" s="20">
        <f t="shared" si="6"/>
        <v>1.2664335838289542</v>
      </c>
    </row>
    <row r="21" spans="2:13">
      <c r="B21" s="24" t="s">
        <v>1</v>
      </c>
      <c r="C21" s="7">
        <v>14</v>
      </c>
      <c r="D21" s="10">
        <f t="shared" si="7"/>
        <v>151474.92081400874</v>
      </c>
      <c r="E21" s="10">
        <f t="shared" si="2"/>
        <v>22009.176528531185</v>
      </c>
      <c r="F21" s="8">
        <v>1.17</v>
      </c>
      <c r="G21" s="12">
        <v>290</v>
      </c>
      <c r="H21" s="15">
        <f t="shared" si="0"/>
        <v>432.78548804002497</v>
      </c>
      <c r="I21" s="10">
        <f t="shared" si="3"/>
        <v>757.37460407004369</v>
      </c>
      <c r="J21" s="14">
        <f t="shared" si="4"/>
        <v>1514.7492081400874</v>
      </c>
      <c r="K21" s="19">
        <f t="shared" si="1"/>
        <v>378.68730203502184</v>
      </c>
      <c r="L21" s="9">
        <f t="shared" si="5"/>
        <v>7.3114550339170306</v>
      </c>
      <c r="M21" s="20">
        <f t="shared" si="6"/>
        <v>1.3046439597465429</v>
      </c>
    </row>
    <row r="22" spans="2:13">
      <c r="B22" s="24" t="s">
        <v>1</v>
      </c>
      <c r="C22" s="7">
        <v>15</v>
      </c>
      <c r="D22" s="10">
        <f t="shared" si="7"/>
        <v>175710.90814425013</v>
      </c>
      <c r="E22" s="10">
        <f t="shared" si="2"/>
        <v>24235.987330241391</v>
      </c>
      <c r="F22" s="8">
        <v>1.1599999999999999</v>
      </c>
      <c r="G22" s="12">
        <v>300</v>
      </c>
      <c r="H22" s="15">
        <f t="shared" si="0"/>
        <v>502.03116612642896</v>
      </c>
      <c r="I22" s="10">
        <f t="shared" si="3"/>
        <v>878.55454072125065</v>
      </c>
      <c r="J22" s="14">
        <f t="shared" si="4"/>
        <v>1757.1090814425013</v>
      </c>
      <c r="K22" s="19">
        <f t="shared" si="1"/>
        <v>439.27727036062532</v>
      </c>
      <c r="L22" s="9">
        <f t="shared" si="5"/>
        <v>8.3212878393437553</v>
      </c>
      <c r="M22" s="20">
        <f t="shared" si="6"/>
        <v>1.3467203266393231</v>
      </c>
    </row>
    <row r="23" spans="2:13">
      <c r="B23" s="24" t="s">
        <v>1</v>
      </c>
      <c r="C23" s="7">
        <v>16</v>
      </c>
      <c r="D23" s="10">
        <f t="shared" si="7"/>
        <v>202067.54436588765</v>
      </c>
      <c r="E23" s="10">
        <f t="shared" si="2"/>
        <v>26356.636221637513</v>
      </c>
      <c r="F23" s="8">
        <v>1.1499999999999999</v>
      </c>
      <c r="G23" s="12">
        <v>310</v>
      </c>
      <c r="H23" s="15">
        <f t="shared" si="0"/>
        <v>577.33584104539329</v>
      </c>
      <c r="I23" s="10">
        <f t="shared" si="3"/>
        <v>1010.3377218294382</v>
      </c>
      <c r="J23" s="14">
        <f t="shared" si="4"/>
        <v>2020.6754436588765</v>
      </c>
      <c r="K23" s="19">
        <f t="shared" si="1"/>
        <v>505.16886091471912</v>
      </c>
      <c r="L23" s="9">
        <f t="shared" si="5"/>
        <v>9.419481015245319</v>
      </c>
      <c r="M23" s="20">
        <f t="shared" si="6"/>
        <v>1.3924783756352217</v>
      </c>
    </row>
    <row r="24" spans="2:13">
      <c r="B24" s="24" t="s">
        <v>1</v>
      </c>
      <c r="C24" s="7">
        <v>17</v>
      </c>
      <c r="D24" s="10">
        <f t="shared" si="7"/>
        <v>230357.0005771119</v>
      </c>
      <c r="E24" s="10">
        <f t="shared" si="2"/>
        <v>28289.456211224257</v>
      </c>
      <c r="F24" s="8">
        <v>1.1399999999999999</v>
      </c>
      <c r="G24" s="12">
        <v>320</v>
      </c>
      <c r="H24" s="15">
        <f t="shared" si="0"/>
        <v>658.16285879174825</v>
      </c>
      <c r="I24" s="10">
        <f t="shared" si="3"/>
        <v>1151.7850028855596</v>
      </c>
      <c r="J24" s="14">
        <f t="shared" si="4"/>
        <v>2303.5700057711192</v>
      </c>
      <c r="K24" s="19">
        <f t="shared" si="1"/>
        <v>575.8925014427798</v>
      </c>
      <c r="L24" s="9">
        <f t="shared" si="5"/>
        <v>10.598208357379663</v>
      </c>
      <c r="M24" s="20">
        <f t="shared" si="6"/>
        <v>1.4415920148908192</v>
      </c>
    </row>
    <row r="25" spans="2:13">
      <c r="B25" s="24" t="s">
        <v>1</v>
      </c>
      <c r="C25" s="7">
        <v>18</v>
      </c>
      <c r="D25" s="10">
        <f t="shared" si="7"/>
        <v>260303.41065213643</v>
      </c>
      <c r="E25" s="10">
        <f t="shared" si="2"/>
        <v>29946.410075024527</v>
      </c>
      <c r="F25" s="8">
        <v>1.1299999999999999</v>
      </c>
      <c r="G25" s="12">
        <v>330</v>
      </c>
      <c r="H25" s="15">
        <f t="shared" si="0"/>
        <v>743.72403043467557</v>
      </c>
      <c r="I25" s="10">
        <f t="shared" si="3"/>
        <v>1301.5170532606821</v>
      </c>
      <c r="J25" s="14">
        <f t="shared" si="4"/>
        <v>2603.0341065213643</v>
      </c>
      <c r="K25" s="19">
        <f t="shared" si="1"/>
        <v>650.75852663034107</v>
      </c>
      <c r="L25" s="9">
        <f t="shared" si="5"/>
        <v>11.845975443839018</v>
      </c>
      <c r="M25" s="20">
        <f t="shared" si="6"/>
        <v>1.493582310159959</v>
      </c>
    </row>
    <row r="26" spans="2:13">
      <c r="B26" s="24" t="s">
        <v>1</v>
      </c>
      <c r="C26" s="7">
        <v>19</v>
      </c>
      <c r="D26" s="10">
        <f t="shared" si="7"/>
        <v>291539.81993039284</v>
      </c>
      <c r="E26" s="10">
        <f t="shared" si="2"/>
        <v>31236.409278256411</v>
      </c>
      <c r="F26" s="8">
        <v>1.1200000000000001</v>
      </c>
      <c r="G26" s="12">
        <v>340</v>
      </c>
      <c r="H26" s="15">
        <f t="shared" si="0"/>
        <v>832.97091408683673</v>
      </c>
      <c r="I26" s="10">
        <f t="shared" si="3"/>
        <v>1457.6990996519642</v>
      </c>
      <c r="J26" s="14">
        <f t="shared" si="4"/>
        <v>2915.3981993039283</v>
      </c>
      <c r="K26" s="19">
        <f t="shared" si="1"/>
        <v>728.84954982598208</v>
      </c>
      <c r="L26" s="9">
        <f t="shared" si="5"/>
        <v>13.147492497099702</v>
      </c>
      <c r="M26" s="20">
        <f t="shared" si="6"/>
        <v>1.5478121873791544</v>
      </c>
    </row>
    <row r="27" spans="2:13" ht="17.25" thickBot="1">
      <c r="B27" s="25" t="s">
        <v>1</v>
      </c>
      <c r="C27" s="26">
        <v>20</v>
      </c>
      <c r="D27" s="17">
        <f t="shared" si="7"/>
        <v>323609.2001227361</v>
      </c>
      <c r="E27" s="17">
        <f t="shared" si="2"/>
        <v>32069.380192343262</v>
      </c>
      <c r="F27" s="27">
        <v>1.1100000000000001</v>
      </c>
      <c r="G27" s="28">
        <v>350</v>
      </c>
      <c r="H27" s="16">
        <f t="shared" si="0"/>
        <v>924.5977146363889</v>
      </c>
      <c r="I27" s="17">
        <f t="shared" si="3"/>
        <v>1618.0460006136805</v>
      </c>
      <c r="J27" s="18">
        <f t="shared" si="4"/>
        <v>3236.0920012273609</v>
      </c>
      <c r="K27" s="21">
        <f t="shared" si="1"/>
        <v>809.02300030684023</v>
      </c>
      <c r="L27" s="22">
        <f t="shared" si="5"/>
        <v>14.483716671780671</v>
      </c>
      <c r="M27" s="23">
        <f t="shared" si="6"/>
        <v>1.6034881946575279</v>
      </c>
    </row>
    <row r="28" spans="2:13">
      <c r="B28" s="29" t="s">
        <v>2</v>
      </c>
      <c r="C28" s="30">
        <v>21</v>
      </c>
      <c r="D28" s="38">
        <f t="shared" si="7"/>
        <v>355970.12013500975</v>
      </c>
      <c r="E28" s="38">
        <f t="shared" si="2"/>
        <v>32360.920012273651</v>
      </c>
      <c r="F28" s="31">
        <v>1.1000000000000001</v>
      </c>
      <c r="G28" s="32">
        <v>410</v>
      </c>
      <c r="H28" s="39">
        <f t="shared" si="0"/>
        <v>1017.0574861000279</v>
      </c>
      <c r="I28" s="38">
        <f t="shared" si="3"/>
        <v>1779.8506006750488</v>
      </c>
      <c r="J28" s="40">
        <f t="shared" si="4"/>
        <v>3559.7012013500976</v>
      </c>
      <c r="K28" s="33">
        <f t="shared" si="1"/>
        <v>889.92530033752439</v>
      </c>
      <c r="L28" s="34">
        <f t="shared" si="5"/>
        <v>15.832088338958739</v>
      </c>
      <c r="M28" s="41">
        <f t="shared" si="6"/>
        <v>1.6596703474566141</v>
      </c>
    </row>
    <row r="29" spans="2:13">
      <c r="B29" s="24" t="s">
        <v>2</v>
      </c>
      <c r="C29" s="7">
        <v>22</v>
      </c>
      <c r="D29" s="10">
        <f t="shared" si="7"/>
        <v>391567.13214851078</v>
      </c>
      <c r="E29" s="10">
        <f t="shared" si="2"/>
        <v>35597.012013501022</v>
      </c>
      <c r="F29" s="8">
        <v>1.1000000000000001</v>
      </c>
      <c r="G29" s="12">
        <v>420</v>
      </c>
      <c r="H29" s="15">
        <f t="shared" si="0"/>
        <v>1118.7632347100307</v>
      </c>
      <c r="I29" s="10">
        <f t="shared" si="3"/>
        <v>1957.835660742554</v>
      </c>
      <c r="J29" s="14">
        <f t="shared" si="4"/>
        <v>3915.6713214851079</v>
      </c>
      <c r="K29" s="19">
        <f t="shared" si="1"/>
        <v>978.91783037127709</v>
      </c>
      <c r="L29" s="9">
        <f t="shared" si="5"/>
        <v>17.315297172854617</v>
      </c>
      <c r="M29" s="20">
        <f t="shared" si="6"/>
        <v>1.721470715535609</v>
      </c>
    </row>
    <row r="30" spans="2:13">
      <c r="B30" s="24" t="s">
        <v>2</v>
      </c>
      <c r="C30" s="7">
        <v>23</v>
      </c>
      <c r="D30" s="10">
        <f t="shared" si="7"/>
        <v>430723.84536336188</v>
      </c>
      <c r="E30" s="10">
        <f t="shared" si="2"/>
        <v>39156.713214851101</v>
      </c>
      <c r="F30" s="8">
        <v>1.1000000000000001</v>
      </c>
      <c r="G30" s="12">
        <v>430</v>
      </c>
      <c r="H30" s="15">
        <f t="shared" si="0"/>
        <v>1230.6395581810339</v>
      </c>
      <c r="I30" s="10">
        <f t="shared" si="3"/>
        <v>2153.6192268168093</v>
      </c>
      <c r="J30" s="14">
        <f t="shared" si="4"/>
        <v>4307.2384536336185</v>
      </c>
      <c r="K30" s="19">
        <f t="shared" si="1"/>
        <v>1076.8096134084046</v>
      </c>
      <c r="L30" s="9">
        <f t="shared" si="5"/>
        <v>18.946826890140077</v>
      </c>
      <c r="M30" s="20">
        <f t="shared" si="6"/>
        <v>1.7894511204225032</v>
      </c>
    </row>
    <row r="31" spans="2:13">
      <c r="B31" s="24" t="s">
        <v>2</v>
      </c>
      <c r="C31" s="7">
        <v>24</v>
      </c>
      <c r="D31" s="10">
        <f t="shared" si="7"/>
        <v>473796.22989969811</v>
      </c>
      <c r="E31" s="10">
        <f t="shared" si="2"/>
        <v>43072.384536336234</v>
      </c>
      <c r="F31" s="8">
        <v>1.1000000000000001</v>
      </c>
      <c r="G31" s="12">
        <v>440</v>
      </c>
      <c r="H31" s="15">
        <f t="shared" si="0"/>
        <v>1353.7035139991374</v>
      </c>
      <c r="I31" s="10">
        <f t="shared" si="3"/>
        <v>2368.9811494984906</v>
      </c>
      <c r="J31" s="14">
        <f t="shared" si="4"/>
        <v>4737.9622989969812</v>
      </c>
      <c r="K31" s="19">
        <f t="shared" si="1"/>
        <v>1184.4905747492453</v>
      </c>
      <c r="L31" s="9">
        <f t="shared" si="5"/>
        <v>20.741509579154087</v>
      </c>
      <c r="M31" s="20">
        <f t="shared" si="6"/>
        <v>1.864229565798087</v>
      </c>
    </row>
    <row r="32" spans="2:13">
      <c r="B32" s="24" t="s">
        <v>2</v>
      </c>
      <c r="C32" s="7">
        <v>25</v>
      </c>
      <c r="D32" s="10">
        <f t="shared" si="7"/>
        <v>521175.85288966796</v>
      </c>
      <c r="E32" s="10">
        <f t="shared" si="2"/>
        <v>47379.622989969852</v>
      </c>
      <c r="F32" s="8">
        <v>1.1000000000000001</v>
      </c>
      <c r="G32" s="12">
        <v>450</v>
      </c>
      <c r="H32" s="15">
        <f t="shared" si="0"/>
        <v>1489.0738653990513</v>
      </c>
      <c r="I32" s="10">
        <f t="shared" si="3"/>
        <v>2605.8792644483397</v>
      </c>
      <c r="J32" s="14">
        <f t="shared" si="4"/>
        <v>5211.7585288966793</v>
      </c>
      <c r="K32" s="19">
        <f t="shared" si="1"/>
        <v>1302.9396322241698</v>
      </c>
      <c r="L32" s="9">
        <f t="shared" si="5"/>
        <v>22.715660537069496</v>
      </c>
      <c r="M32" s="20">
        <f t="shared" si="6"/>
        <v>1.946485855711229</v>
      </c>
    </row>
    <row r="33" spans="2:13">
      <c r="B33" s="24" t="s">
        <v>2</v>
      </c>
      <c r="C33" s="7">
        <v>26</v>
      </c>
      <c r="D33" s="10">
        <f t="shared" si="7"/>
        <v>573293.43817863485</v>
      </c>
      <c r="E33" s="10">
        <f t="shared" si="2"/>
        <v>52117.585288966889</v>
      </c>
      <c r="F33" s="8">
        <v>1.1000000000000001</v>
      </c>
      <c r="G33" s="12">
        <v>460</v>
      </c>
      <c r="H33" s="15">
        <f t="shared" si="0"/>
        <v>1637.9812519389568</v>
      </c>
      <c r="I33" s="10">
        <f t="shared" si="3"/>
        <v>2866.4671908931741</v>
      </c>
      <c r="J33" s="14">
        <f t="shared" si="4"/>
        <v>5732.9343817863482</v>
      </c>
      <c r="K33" s="19">
        <f t="shared" si="1"/>
        <v>1433.2335954465868</v>
      </c>
      <c r="L33" s="9">
        <f t="shared" si="5"/>
        <v>24.887226590776446</v>
      </c>
      <c r="M33" s="20">
        <f t="shared" si="6"/>
        <v>2.0369677746156851</v>
      </c>
    </row>
    <row r="34" spans="2:13">
      <c r="B34" s="24" t="s">
        <v>2</v>
      </c>
      <c r="C34" s="7">
        <v>27</v>
      </c>
      <c r="D34" s="10">
        <f t="shared" si="7"/>
        <v>630622.78199649835</v>
      </c>
      <c r="E34" s="10">
        <f t="shared" si="2"/>
        <v>57329.343817863497</v>
      </c>
      <c r="F34" s="8">
        <v>1.1000000000000001</v>
      </c>
      <c r="G34" s="12">
        <v>470</v>
      </c>
      <c r="H34" s="15">
        <f t="shared" si="0"/>
        <v>1801.7793771328525</v>
      </c>
      <c r="I34" s="10">
        <f t="shared" si="3"/>
        <v>3153.1139099824918</v>
      </c>
      <c r="J34" s="14">
        <f t="shared" si="4"/>
        <v>6306.2278199649836</v>
      </c>
      <c r="K34" s="19">
        <f t="shared" si="1"/>
        <v>1576.5569549912459</v>
      </c>
      <c r="L34" s="9">
        <f t="shared" si="5"/>
        <v>27.275949249854097</v>
      </c>
      <c r="M34" s="20">
        <f t="shared" si="6"/>
        <v>2.1364978854105874</v>
      </c>
    </row>
    <row r="35" spans="2:13">
      <c r="B35" s="24" t="s">
        <v>2</v>
      </c>
      <c r="C35" s="7">
        <v>28</v>
      </c>
      <c r="D35" s="10">
        <f t="shared" si="7"/>
        <v>693685.06019614823</v>
      </c>
      <c r="E35" s="10">
        <f t="shared" si="2"/>
        <v>63062.278199649882</v>
      </c>
      <c r="F35" s="8">
        <v>1.1000000000000001</v>
      </c>
      <c r="G35" s="12">
        <v>480</v>
      </c>
      <c r="H35" s="15">
        <f t="shared" si="0"/>
        <v>1981.9573148461377</v>
      </c>
      <c r="I35" s="10">
        <f t="shared" si="3"/>
        <v>3468.4253009807412</v>
      </c>
      <c r="J35" s="14">
        <f t="shared" si="4"/>
        <v>6936.8506019614824</v>
      </c>
      <c r="K35" s="19">
        <f t="shared" si="1"/>
        <v>1734.2126504903706</v>
      </c>
      <c r="L35" s="9">
        <f t="shared" si="5"/>
        <v>29.90354417483951</v>
      </c>
      <c r="M35" s="20">
        <f t="shared" si="6"/>
        <v>2.2459810072849793</v>
      </c>
    </row>
    <row r="36" spans="2:13">
      <c r="B36" s="24" t="s">
        <v>2</v>
      </c>
      <c r="C36" s="7">
        <v>29</v>
      </c>
      <c r="D36" s="10">
        <f t="shared" si="7"/>
        <v>763053.5662157631</v>
      </c>
      <c r="E36" s="10">
        <f t="shared" si="2"/>
        <v>69368.50601961487</v>
      </c>
      <c r="F36" s="8">
        <v>1.1000000000000001</v>
      </c>
      <c r="G36" s="12">
        <v>490</v>
      </c>
      <c r="H36" s="15">
        <f t="shared" si="0"/>
        <v>2180.1530463307517</v>
      </c>
      <c r="I36" s="10">
        <f t="shared" si="3"/>
        <v>3815.2678310788156</v>
      </c>
      <c r="J36" s="14">
        <f t="shared" si="4"/>
        <v>7630.5356621576311</v>
      </c>
      <c r="K36" s="19">
        <f t="shared" si="1"/>
        <v>1907.6339155394078</v>
      </c>
      <c r="L36" s="9">
        <f t="shared" si="5"/>
        <v>32.793898592323458</v>
      </c>
      <c r="M36" s="20">
        <f t="shared" si="6"/>
        <v>2.3664124413468111</v>
      </c>
    </row>
    <row r="37" spans="2:13" ht="17.25" thickBot="1">
      <c r="B37" s="53" t="s">
        <v>2</v>
      </c>
      <c r="C37" s="54">
        <v>30</v>
      </c>
      <c r="D37" s="55">
        <f t="shared" si="7"/>
        <v>839358.92283733946</v>
      </c>
      <c r="E37" s="55">
        <f t="shared" si="2"/>
        <v>76305.356621576357</v>
      </c>
      <c r="F37" s="56">
        <v>1.1000000000000001</v>
      </c>
      <c r="G37" s="57">
        <v>500</v>
      </c>
      <c r="H37" s="58">
        <f t="shared" si="0"/>
        <v>2398.1683509638269</v>
      </c>
      <c r="I37" s="55">
        <f t="shared" si="3"/>
        <v>4196.7946141866969</v>
      </c>
      <c r="J37" s="59">
        <f t="shared" si="4"/>
        <v>8393.5892283733938</v>
      </c>
      <c r="K37" s="60">
        <f t="shared" si="1"/>
        <v>2098.3973070933484</v>
      </c>
      <c r="L37" s="61">
        <f t="shared" si="5"/>
        <v>35.97328845155581</v>
      </c>
      <c r="M37" s="62">
        <f t="shared" si="6"/>
        <v>2.4988870188148251</v>
      </c>
    </row>
    <row r="38" spans="2:13">
      <c r="B38" s="42" t="s">
        <v>3</v>
      </c>
      <c r="C38" s="43">
        <v>31</v>
      </c>
      <c r="D38" s="49">
        <f t="shared" si="7"/>
        <v>923294.81512107351</v>
      </c>
      <c r="E38" s="49">
        <f t="shared" si="2"/>
        <v>83935.892283734051</v>
      </c>
      <c r="F38" s="44">
        <v>1.1000000000000001</v>
      </c>
      <c r="G38" s="45">
        <v>550</v>
      </c>
      <c r="H38" s="50">
        <f t="shared" si="0"/>
        <v>2637.9851860602098</v>
      </c>
      <c r="I38" s="49">
        <f t="shared" si="3"/>
        <v>4616.4740756053679</v>
      </c>
      <c r="J38" s="51">
        <f t="shared" si="4"/>
        <v>9232.9481512107359</v>
      </c>
      <c r="K38" s="47">
        <f t="shared" si="1"/>
        <v>2308.237037802684</v>
      </c>
      <c r="L38" s="48">
        <f t="shared" si="5"/>
        <v>39.470617296711403</v>
      </c>
      <c r="M38" s="52">
        <f t="shared" si="6"/>
        <v>2.6446090540296421</v>
      </c>
    </row>
    <row r="39" spans="2:13">
      <c r="B39" s="24" t="s">
        <v>3</v>
      </c>
      <c r="C39" s="7">
        <v>32</v>
      </c>
      <c r="D39" s="10">
        <f t="shared" si="7"/>
        <v>1015624.2966331809</v>
      </c>
      <c r="E39" s="10">
        <f t="shared" si="2"/>
        <v>92329.481512107421</v>
      </c>
      <c r="F39" s="8">
        <v>1.1000000000000001</v>
      </c>
      <c r="G39" s="12">
        <v>560</v>
      </c>
      <c r="H39" s="15">
        <f t="shared" si="0"/>
        <v>2901.7837046662312</v>
      </c>
      <c r="I39" s="10">
        <f t="shared" si="3"/>
        <v>5078.1214831659045</v>
      </c>
      <c r="J39" s="14">
        <f t="shared" si="4"/>
        <v>10156.242966331809</v>
      </c>
      <c r="K39" s="19">
        <f t="shared" si="1"/>
        <v>2539.0607415829522</v>
      </c>
      <c r="L39" s="9">
        <f t="shared" si="5"/>
        <v>43.317679026382535</v>
      </c>
      <c r="M39" s="20">
        <f t="shared" si="6"/>
        <v>2.804903292765939</v>
      </c>
    </row>
    <row r="40" spans="2:13">
      <c r="B40" s="24" t="s">
        <v>3</v>
      </c>
      <c r="C40" s="7">
        <v>33</v>
      </c>
      <c r="D40" s="10">
        <f t="shared" si="7"/>
        <v>1117186.7262964991</v>
      </c>
      <c r="E40" s="10">
        <f t="shared" si="2"/>
        <v>101562.42966331821</v>
      </c>
      <c r="F40" s="8">
        <v>1.1000000000000001</v>
      </c>
      <c r="G40" s="12">
        <v>570</v>
      </c>
      <c r="H40" s="15">
        <f t="shared" ref="H40:H71" si="8">D40/$H$5</f>
        <v>3191.9620751328548</v>
      </c>
      <c r="I40" s="10">
        <f t="shared" si="3"/>
        <v>5585.9336314824959</v>
      </c>
      <c r="J40" s="14">
        <f t="shared" si="4"/>
        <v>11171.867262964992</v>
      </c>
      <c r="K40" s="19">
        <f t="shared" si="1"/>
        <v>2792.966815741248</v>
      </c>
      <c r="L40" s="9">
        <f t="shared" si="5"/>
        <v>47.549446929020796</v>
      </c>
      <c r="M40" s="20">
        <f t="shared" si="6"/>
        <v>2.9812269553758668</v>
      </c>
    </row>
    <row r="41" spans="2:13">
      <c r="B41" s="24" t="s">
        <v>3</v>
      </c>
      <c r="C41" s="7">
        <v>34</v>
      </c>
      <c r="D41" s="10">
        <f t="shared" si="7"/>
        <v>1228905.3989261491</v>
      </c>
      <c r="E41" s="10">
        <f t="shared" si="2"/>
        <v>111718.67262964998</v>
      </c>
      <c r="F41" s="8">
        <v>1.1000000000000001</v>
      </c>
      <c r="G41" s="12">
        <v>580</v>
      </c>
      <c r="H41" s="15">
        <f t="shared" si="8"/>
        <v>3511.1582826461404</v>
      </c>
      <c r="I41" s="10">
        <f t="shared" si="3"/>
        <v>6144.5269946307453</v>
      </c>
      <c r="J41" s="14">
        <f t="shared" si="4"/>
        <v>12289.053989261491</v>
      </c>
      <c r="K41" s="19">
        <f t="shared" si="1"/>
        <v>3072.2634973153722</v>
      </c>
      <c r="L41" s="9">
        <f t="shared" si="5"/>
        <v>52.204391621922873</v>
      </c>
      <c r="M41" s="20">
        <f t="shared" si="6"/>
        <v>3.1751829842467862</v>
      </c>
    </row>
    <row r="42" spans="2:13">
      <c r="B42" s="24" t="s">
        <v>3</v>
      </c>
      <c r="C42" s="7">
        <v>35</v>
      </c>
      <c r="D42" s="10">
        <f t="shared" si="7"/>
        <v>1351795.9388187642</v>
      </c>
      <c r="E42" s="10">
        <f t="shared" si="2"/>
        <v>122890.53989261505</v>
      </c>
      <c r="F42" s="8">
        <v>1.1000000000000001</v>
      </c>
      <c r="G42" s="12">
        <v>590</v>
      </c>
      <c r="H42" s="15">
        <f t="shared" si="8"/>
        <v>3862.2741109107546</v>
      </c>
      <c r="I42" s="10">
        <f t="shared" si="3"/>
        <v>6758.9796940938213</v>
      </c>
      <c r="J42" s="14">
        <f t="shared" si="4"/>
        <v>13517.959388187643</v>
      </c>
      <c r="K42" s="19">
        <f t="shared" si="1"/>
        <v>3379.4898470469107</v>
      </c>
      <c r="L42" s="9">
        <f t="shared" si="5"/>
        <v>57.324830784115179</v>
      </c>
      <c r="M42" s="20">
        <f t="shared" si="6"/>
        <v>3.3885346160047991</v>
      </c>
    </row>
    <row r="43" spans="2:13">
      <c r="B43" s="24" t="s">
        <v>3</v>
      </c>
      <c r="C43" s="7">
        <v>36</v>
      </c>
      <c r="D43" s="10">
        <f t="shared" si="7"/>
        <v>1486975.5327006406</v>
      </c>
      <c r="E43" s="10">
        <f t="shared" si="2"/>
        <v>135179.59388187644</v>
      </c>
      <c r="F43" s="8">
        <v>1.1000000000000001</v>
      </c>
      <c r="G43" s="12">
        <v>600</v>
      </c>
      <c r="H43" s="15">
        <f t="shared" si="8"/>
        <v>4248.5015220018304</v>
      </c>
      <c r="I43" s="10">
        <f t="shared" si="3"/>
        <v>7434.8776635032027</v>
      </c>
      <c r="J43" s="14">
        <f t="shared" si="4"/>
        <v>14869.755327006405</v>
      </c>
      <c r="K43" s="19">
        <f t="shared" si="1"/>
        <v>3717.4388317516014</v>
      </c>
      <c r="L43" s="9">
        <f t="shared" si="5"/>
        <v>62.957313862526689</v>
      </c>
      <c r="M43" s="20">
        <f t="shared" si="6"/>
        <v>3.6232214109386121</v>
      </c>
    </row>
    <row r="44" spans="2:13">
      <c r="B44" s="24" t="s">
        <v>3</v>
      </c>
      <c r="C44" s="7">
        <v>37</v>
      </c>
      <c r="D44" s="10">
        <f t="shared" si="7"/>
        <v>1635673.0859707049</v>
      </c>
      <c r="E44" s="10">
        <f t="shared" si="2"/>
        <v>148697.55327006429</v>
      </c>
      <c r="F44" s="8">
        <v>1.1000000000000001</v>
      </c>
      <c r="G44" s="12">
        <v>610</v>
      </c>
      <c r="H44" s="15">
        <f t="shared" si="8"/>
        <v>4673.3516742020138</v>
      </c>
      <c r="I44" s="10">
        <f t="shared" si="3"/>
        <v>8178.3654298535248</v>
      </c>
      <c r="J44" s="14">
        <f t="shared" si="4"/>
        <v>16356.73085970705</v>
      </c>
      <c r="K44" s="19">
        <f t="shared" si="1"/>
        <v>4089.1827149267624</v>
      </c>
      <c r="L44" s="9">
        <f t="shared" si="5"/>
        <v>69.153045248779378</v>
      </c>
      <c r="M44" s="20">
        <f t="shared" si="6"/>
        <v>3.8813768853658073</v>
      </c>
    </row>
    <row r="45" spans="2:13">
      <c r="B45" s="24" t="s">
        <v>3</v>
      </c>
      <c r="C45" s="7">
        <v>38</v>
      </c>
      <c r="D45" s="10">
        <f t="shared" si="7"/>
        <v>1799240.3945677755</v>
      </c>
      <c r="E45" s="10">
        <f t="shared" si="2"/>
        <v>163567.30859707063</v>
      </c>
      <c r="F45" s="8">
        <v>1.1000000000000001</v>
      </c>
      <c r="G45" s="12">
        <v>620</v>
      </c>
      <c r="H45" s="15">
        <f t="shared" si="8"/>
        <v>5140.686841622216</v>
      </c>
      <c r="I45" s="10">
        <f t="shared" si="3"/>
        <v>8996.2019728388768</v>
      </c>
      <c r="J45" s="14">
        <f t="shared" si="4"/>
        <v>17992.403945677754</v>
      </c>
      <c r="K45" s="19">
        <f t="shared" si="1"/>
        <v>4498.1009864194384</v>
      </c>
      <c r="L45" s="9">
        <f t="shared" si="5"/>
        <v>75.968349773657309</v>
      </c>
      <c r="M45" s="20">
        <f t="shared" si="6"/>
        <v>4.1653479072357218</v>
      </c>
    </row>
    <row r="46" spans="2:13">
      <c r="B46" s="24" t="s">
        <v>3</v>
      </c>
      <c r="C46" s="7">
        <v>39</v>
      </c>
      <c r="D46" s="10">
        <f t="shared" si="7"/>
        <v>1979164.4340245533</v>
      </c>
      <c r="E46" s="10">
        <f t="shared" si="2"/>
        <v>179924.03945677774</v>
      </c>
      <c r="F46" s="8">
        <v>1.1000000000000001</v>
      </c>
      <c r="G46" s="12">
        <v>630</v>
      </c>
      <c r="H46" s="15">
        <f t="shared" si="8"/>
        <v>5654.7555257844379</v>
      </c>
      <c r="I46" s="10">
        <f t="shared" si="3"/>
        <v>9895.8221701227667</v>
      </c>
      <c r="J46" s="14">
        <f t="shared" si="4"/>
        <v>19791.644340245533</v>
      </c>
      <c r="K46" s="19">
        <f t="shared" si="1"/>
        <v>4947.9110850613833</v>
      </c>
      <c r="L46" s="9">
        <f t="shared" si="5"/>
        <v>83.46518475102306</v>
      </c>
      <c r="M46" s="20">
        <f t="shared" si="6"/>
        <v>4.4777160312926281</v>
      </c>
    </row>
    <row r="47" spans="2:13" ht="17.25" thickBot="1">
      <c r="B47" s="25" t="s">
        <v>3</v>
      </c>
      <c r="C47" s="26">
        <v>40</v>
      </c>
      <c r="D47" s="17">
        <f t="shared" si="7"/>
        <v>2177080.8774270089</v>
      </c>
      <c r="E47" s="17">
        <f t="shared" si="2"/>
        <v>197916.44340245565</v>
      </c>
      <c r="F47" s="27">
        <v>1.1000000000000001</v>
      </c>
      <c r="G47" s="28">
        <v>640</v>
      </c>
      <c r="H47" s="16">
        <f t="shared" si="8"/>
        <v>6220.2310783628827</v>
      </c>
      <c r="I47" s="17">
        <f t="shared" si="3"/>
        <v>10885.404387135044</v>
      </c>
      <c r="J47" s="18">
        <f t="shared" si="4"/>
        <v>21770.808774270088</v>
      </c>
      <c r="K47" s="21">
        <f t="shared" si="1"/>
        <v>5442.7021935675211</v>
      </c>
      <c r="L47" s="22">
        <f t="shared" si="5"/>
        <v>91.711703226125351</v>
      </c>
      <c r="M47" s="23">
        <f t="shared" si="6"/>
        <v>4.8213209677552236</v>
      </c>
    </row>
    <row r="48" spans="2:13">
      <c r="B48" s="29" t="s">
        <v>4</v>
      </c>
      <c r="C48" s="30">
        <v>41</v>
      </c>
      <c r="D48" s="38">
        <f t="shared" si="7"/>
        <v>2394788.9651697101</v>
      </c>
      <c r="E48" s="38">
        <f t="shared" si="2"/>
        <v>217708.08774270117</v>
      </c>
      <c r="F48" s="31">
        <v>1.1000000000000001</v>
      </c>
      <c r="G48" s="32">
        <v>700</v>
      </c>
      <c r="H48" s="39">
        <f t="shared" si="8"/>
        <v>6842.2541861991722</v>
      </c>
      <c r="I48" s="38">
        <f t="shared" si="3"/>
        <v>11973.94482584855</v>
      </c>
      <c r="J48" s="40">
        <f t="shared" si="4"/>
        <v>23947.8896516971</v>
      </c>
      <c r="K48" s="33">
        <f t="shared" si="1"/>
        <v>5986.9724129242741</v>
      </c>
      <c r="L48" s="34">
        <f t="shared" si="5"/>
        <v>100.7828735487379</v>
      </c>
      <c r="M48" s="41">
        <f t="shared" si="6"/>
        <v>5.1992863978640793</v>
      </c>
    </row>
    <row r="49" spans="2:13">
      <c r="B49" s="24" t="s">
        <v>4</v>
      </c>
      <c r="C49" s="7">
        <v>42</v>
      </c>
      <c r="D49" s="10">
        <f t="shared" si="7"/>
        <v>2634267.8616866814</v>
      </c>
      <c r="E49" s="10">
        <f t="shared" si="2"/>
        <v>239478.89651697129</v>
      </c>
      <c r="F49" s="8">
        <v>1.1000000000000001</v>
      </c>
      <c r="G49" s="12">
        <v>710</v>
      </c>
      <c r="H49" s="15">
        <f t="shared" si="8"/>
        <v>7526.4796048190901</v>
      </c>
      <c r="I49" s="10">
        <f t="shared" si="3"/>
        <v>13171.339308433407</v>
      </c>
      <c r="J49" s="14">
        <f t="shared" si="4"/>
        <v>26342.678616866815</v>
      </c>
      <c r="K49" s="19">
        <f t="shared" si="1"/>
        <v>6585.6696542167037</v>
      </c>
      <c r="L49" s="9">
        <f t="shared" si="5"/>
        <v>110.76116090361172</v>
      </c>
      <c r="M49" s="20">
        <f t="shared" si="6"/>
        <v>5.6150483709838221</v>
      </c>
    </row>
    <row r="50" spans="2:13">
      <c r="B50" s="24" t="s">
        <v>4</v>
      </c>
      <c r="C50" s="7">
        <v>43</v>
      </c>
      <c r="D50" s="10">
        <f t="shared" si="7"/>
        <v>2897694.6478553498</v>
      </c>
      <c r="E50" s="10">
        <f t="shared" si="2"/>
        <v>263426.78616866842</v>
      </c>
      <c r="F50" s="8">
        <v>1.1000000000000001</v>
      </c>
      <c r="G50" s="12">
        <v>720</v>
      </c>
      <c r="H50" s="15">
        <f t="shared" si="8"/>
        <v>8279.1275653009998</v>
      </c>
      <c r="I50" s="10">
        <f t="shared" si="3"/>
        <v>14488.473239276749</v>
      </c>
      <c r="J50" s="14">
        <f t="shared" si="4"/>
        <v>28976.946478553498</v>
      </c>
      <c r="K50" s="19">
        <f t="shared" si="1"/>
        <v>7244.2366196383746</v>
      </c>
      <c r="L50" s="9">
        <f t="shared" si="5"/>
        <v>121.73727699397291</v>
      </c>
      <c r="M50" s="20">
        <f t="shared" si="6"/>
        <v>6.072386541415538</v>
      </c>
    </row>
    <row r="51" spans="2:13">
      <c r="B51" s="24" t="s">
        <v>4</v>
      </c>
      <c r="C51" s="7">
        <v>44</v>
      </c>
      <c r="D51" s="10">
        <f t="shared" si="7"/>
        <v>3187464.1126408852</v>
      </c>
      <c r="E51" s="10">
        <f t="shared" si="2"/>
        <v>289769.46478553535</v>
      </c>
      <c r="F51" s="8">
        <v>1.1000000000000001</v>
      </c>
      <c r="G51" s="12">
        <v>730</v>
      </c>
      <c r="H51" s="15">
        <f t="shared" si="8"/>
        <v>9107.0403218311003</v>
      </c>
      <c r="I51" s="10">
        <f t="shared" si="3"/>
        <v>15937.320563204426</v>
      </c>
      <c r="J51" s="14">
        <f t="shared" si="4"/>
        <v>31874.641126408853</v>
      </c>
      <c r="K51" s="19">
        <f t="shared" si="1"/>
        <v>7968.6602816022141</v>
      </c>
      <c r="L51" s="9">
        <f t="shared" si="5"/>
        <v>133.81100469337022</v>
      </c>
      <c r="M51" s="20">
        <f t="shared" si="6"/>
        <v>6.5754585288904259</v>
      </c>
    </row>
    <row r="52" spans="2:13">
      <c r="B52" s="24" t="s">
        <v>4</v>
      </c>
      <c r="C52" s="7">
        <v>45</v>
      </c>
      <c r="D52" s="10">
        <f t="shared" si="7"/>
        <v>3506210.5239049741</v>
      </c>
      <c r="E52" s="10">
        <f t="shared" si="2"/>
        <v>318746.41126408894</v>
      </c>
      <c r="F52" s="8">
        <v>1.1000000000000001</v>
      </c>
      <c r="G52" s="12">
        <v>740</v>
      </c>
      <c r="H52" s="15">
        <f t="shared" si="8"/>
        <v>10017.744354014212</v>
      </c>
      <c r="I52" s="10">
        <f t="shared" si="3"/>
        <v>17531.052619524871</v>
      </c>
      <c r="J52" s="14">
        <f t="shared" si="4"/>
        <v>35062.105239049743</v>
      </c>
      <c r="K52" s="19">
        <f t="shared" si="1"/>
        <v>8765.5263097624356</v>
      </c>
      <c r="L52" s="9">
        <f t="shared" si="5"/>
        <v>147.09210516270727</v>
      </c>
      <c r="M52" s="20">
        <f t="shared" si="6"/>
        <v>7.1288377151128026</v>
      </c>
    </row>
    <row r="53" spans="2:13">
      <c r="B53" s="24" t="s">
        <v>4</v>
      </c>
      <c r="C53" s="7">
        <v>46</v>
      </c>
      <c r="D53" s="10">
        <f t="shared" si="7"/>
        <v>3856831.5762954718</v>
      </c>
      <c r="E53" s="10">
        <f t="shared" si="2"/>
        <v>350621.05239049764</v>
      </c>
      <c r="F53" s="8">
        <v>1.1000000000000001</v>
      </c>
      <c r="G53" s="12">
        <v>750</v>
      </c>
      <c r="H53" s="15">
        <f t="shared" si="8"/>
        <v>11019.518789415633</v>
      </c>
      <c r="I53" s="10">
        <f t="shared" si="3"/>
        <v>19284.15788147736</v>
      </c>
      <c r="J53" s="14">
        <f t="shared" si="4"/>
        <v>38568.31576295472</v>
      </c>
      <c r="K53" s="19">
        <f t="shared" si="1"/>
        <v>9642.0789407386801</v>
      </c>
      <c r="L53" s="9">
        <f t="shared" si="5"/>
        <v>161.70131567897801</v>
      </c>
      <c r="M53" s="20">
        <f t="shared" si="6"/>
        <v>7.7375548199574169</v>
      </c>
    </row>
    <row r="54" spans="2:13">
      <c r="B54" s="24" t="s">
        <v>4</v>
      </c>
      <c r="C54" s="7">
        <v>47</v>
      </c>
      <c r="D54" s="10">
        <f t="shared" si="7"/>
        <v>4242514.7339250194</v>
      </c>
      <c r="E54" s="10">
        <f t="shared" si="2"/>
        <v>385683.15762954764</v>
      </c>
      <c r="F54" s="8">
        <v>1.1000000000000001</v>
      </c>
      <c r="G54" s="12">
        <v>760</v>
      </c>
      <c r="H54" s="15">
        <f t="shared" si="8"/>
        <v>12121.470668357199</v>
      </c>
      <c r="I54" s="10">
        <f t="shared" si="3"/>
        <v>21212.573669625097</v>
      </c>
      <c r="J54" s="14">
        <f t="shared" si="4"/>
        <v>42425.147339250194</v>
      </c>
      <c r="K54" s="19">
        <f t="shared" si="1"/>
        <v>10606.286834812548</v>
      </c>
      <c r="L54" s="9">
        <f t="shared" si="5"/>
        <v>177.77144724687579</v>
      </c>
      <c r="M54" s="20">
        <f t="shared" si="6"/>
        <v>8.4071436352864914</v>
      </c>
    </row>
    <row r="55" spans="2:13">
      <c r="B55" s="24" t="s">
        <v>4</v>
      </c>
      <c r="C55" s="7">
        <v>48</v>
      </c>
      <c r="D55" s="10">
        <f t="shared" si="7"/>
        <v>4666766.2073175218</v>
      </c>
      <c r="E55" s="10">
        <f t="shared" si="2"/>
        <v>424251.4733925024</v>
      </c>
      <c r="F55" s="8">
        <v>1.1000000000000001</v>
      </c>
      <c r="G55" s="12">
        <v>770</v>
      </c>
      <c r="H55" s="15">
        <f t="shared" si="8"/>
        <v>13333.61773519292</v>
      </c>
      <c r="I55" s="10">
        <f t="shared" si="3"/>
        <v>23333.83103658761</v>
      </c>
      <c r="J55" s="14">
        <f t="shared" si="4"/>
        <v>46667.662073175219</v>
      </c>
      <c r="K55" s="19">
        <f t="shared" si="1"/>
        <v>11666.915518293805</v>
      </c>
      <c r="L55" s="9">
        <f t="shared" si="5"/>
        <v>195.44859197156342</v>
      </c>
      <c r="M55" s="20">
        <f t="shared" si="6"/>
        <v>9.1436913321484763</v>
      </c>
    </row>
    <row r="56" spans="2:13">
      <c r="B56" s="24" t="s">
        <v>4</v>
      </c>
      <c r="C56" s="7">
        <v>49</v>
      </c>
      <c r="D56" s="10">
        <f t="shared" si="7"/>
        <v>5133442.8280492742</v>
      </c>
      <c r="E56" s="10">
        <f t="shared" si="2"/>
        <v>466676.62073175237</v>
      </c>
      <c r="F56" s="8">
        <v>1.1000000000000001</v>
      </c>
      <c r="G56" s="12">
        <v>780</v>
      </c>
      <c r="H56" s="15">
        <f t="shared" si="8"/>
        <v>14666.979508712211</v>
      </c>
      <c r="I56" s="10">
        <f t="shared" si="3"/>
        <v>25667.214140246371</v>
      </c>
      <c r="J56" s="14">
        <f t="shared" si="4"/>
        <v>51334.428280492742</v>
      </c>
      <c r="K56" s="19">
        <f t="shared" si="1"/>
        <v>12833.607070123186</v>
      </c>
      <c r="L56" s="9">
        <f t="shared" si="5"/>
        <v>214.89345116871976</v>
      </c>
      <c r="M56" s="20">
        <f t="shared" si="6"/>
        <v>9.9538937986966562</v>
      </c>
    </row>
    <row r="57" spans="2:13" ht="17.25" thickBot="1">
      <c r="B57" s="53" t="s">
        <v>4</v>
      </c>
      <c r="C57" s="54">
        <v>50</v>
      </c>
      <c r="D57" s="55">
        <f t="shared" si="7"/>
        <v>5646787.110854202</v>
      </c>
      <c r="E57" s="55">
        <f t="shared" si="2"/>
        <v>513344.28280492779</v>
      </c>
      <c r="F57" s="56">
        <v>1.1000000000000001</v>
      </c>
      <c r="G57" s="57">
        <v>790</v>
      </c>
      <c r="H57" s="58">
        <f t="shared" si="8"/>
        <v>16133.677459583434</v>
      </c>
      <c r="I57" s="55">
        <f t="shared" si="3"/>
        <v>28233.935554271011</v>
      </c>
      <c r="J57" s="59">
        <f t="shared" si="4"/>
        <v>56467.871108542022</v>
      </c>
      <c r="K57" s="60">
        <f t="shared" si="1"/>
        <v>14116.967777135507</v>
      </c>
      <c r="L57" s="61">
        <f t="shared" si="5"/>
        <v>236.28279628559179</v>
      </c>
      <c r="M57" s="62">
        <f t="shared" si="6"/>
        <v>10.845116511899658</v>
      </c>
    </row>
    <row r="58" spans="2:13">
      <c r="B58" s="42" t="s">
        <v>5</v>
      </c>
      <c r="C58" s="43">
        <v>51</v>
      </c>
      <c r="D58" s="49">
        <f t="shared" si="7"/>
        <v>6211465.821939623</v>
      </c>
      <c r="E58" s="49">
        <f t="shared" si="2"/>
        <v>564678.71108542103</v>
      </c>
      <c r="F58" s="44">
        <v>1.1000000000000001</v>
      </c>
      <c r="G58" s="45">
        <v>950</v>
      </c>
      <c r="H58" s="50">
        <f t="shared" si="8"/>
        <v>17747.045205541781</v>
      </c>
      <c r="I58" s="49">
        <f t="shared" si="3"/>
        <v>31057.329109698116</v>
      </c>
      <c r="J58" s="51">
        <f t="shared" si="4"/>
        <v>62114.658219396231</v>
      </c>
      <c r="K58" s="47">
        <f t="shared" si="1"/>
        <v>15528.664554849058</v>
      </c>
      <c r="L58" s="48">
        <f t="shared" si="5"/>
        <v>259.81107591415099</v>
      </c>
      <c r="M58" s="52">
        <f t="shared" si="6"/>
        <v>11.825461496422959</v>
      </c>
    </row>
    <row r="59" spans="2:13">
      <c r="B59" s="24" t="s">
        <v>5</v>
      </c>
      <c r="C59" s="7">
        <v>52</v>
      </c>
      <c r="D59" s="10">
        <f t="shared" si="7"/>
        <v>6832612.4041335862</v>
      </c>
      <c r="E59" s="10">
        <f t="shared" si="2"/>
        <v>621146.58219396323</v>
      </c>
      <c r="F59" s="8">
        <v>1.1000000000000001</v>
      </c>
      <c r="G59" s="12">
        <v>1000</v>
      </c>
      <c r="H59" s="15">
        <f t="shared" si="8"/>
        <v>19521.749726095961</v>
      </c>
      <c r="I59" s="10">
        <f t="shared" si="3"/>
        <v>34163.06202066793</v>
      </c>
      <c r="J59" s="14">
        <f t="shared" si="4"/>
        <v>68326.124041335861</v>
      </c>
      <c r="K59" s="19">
        <f t="shared" si="1"/>
        <v>17081.531010333965</v>
      </c>
      <c r="L59" s="9">
        <f t="shared" si="5"/>
        <v>285.69218350556611</v>
      </c>
      <c r="M59" s="20">
        <f t="shared" si="6"/>
        <v>12.903840979398588</v>
      </c>
    </row>
    <row r="60" spans="2:13">
      <c r="B60" s="24" t="s">
        <v>5</v>
      </c>
      <c r="C60" s="7">
        <v>53</v>
      </c>
      <c r="D60" s="10">
        <f t="shared" si="7"/>
        <v>7515873.6445469456</v>
      </c>
      <c r="E60" s="10">
        <f t="shared" si="2"/>
        <v>683261.24041335937</v>
      </c>
      <c r="F60" s="8">
        <v>1.1000000000000001</v>
      </c>
      <c r="G60" s="12">
        <v>1050</v>
      </c>
      <c r="H60" s="15">
        <f t="shared" si="8"/>
        <v>21473.924698705559</v>
      </c>
      <c r="I60" s="10">
        <f t="shared" si="3"/>
        <v>37579.368222734731</v>
      </c>
      <c r="J60" s="14">
        <f t="shared" si="4"/>
        <v>75158.736445469462</v>
      </c>
      <c r="K60" s="19">
        <f t="shared" si="1"/>
        <v>18789.684111367365</v>
      </c>
      <c r="L60" s="9">
        <f t="shared" si="5"/>
        <v>314.16140185612278</v>
      </c>
      <c r="M60" s="20">
        <f t="shared" si="6"/>
        <v>14.090058410671782</v>
      </c>
    </row>
    <row r="61" spans="2:13">
      <c r="B61" s="24" t="s">
        <v>5</v>
      </c>
      <c r="C61" s="7">
        <v>54</v>
      </c>
      <c r="D61" s="10">
        <f t="shared" si="7"/>
        <v>8267461.0090016406</v>
      </c>
      <c r="E61" s="10">
        <f t="shared" si="2"/>
        <v>751587.36445469502</v>
      </c>
      <c r="F61" s="8">
        <v>1.1000000000000001</v>
      </c>
      <c r="G61" s="12">
        <v>1100</v>
      </c>
      <c r="H61" s="15">
        <f t="shared" si="8"/>
        <v>23621.317168576115</v>
      </c>
      <c r="I61" s="10">
        <f t="shared" si="3"/>
        <v>41337.305045008201</v>
      </c>
      <c r="J61" s="14">
        <f t="shared" si="4"/>
        <v>82674.610090016402</v>
      </c>
      <c r="K61" s="19">
        <f t="shared" si="1"/>
        <v>20668.6525225041</v>
      </c>
      <c r="L61" s="9">
        <f t="shared" si="5"/>
        <v>345.47754204173503</v>
      </c>
      <c r="M61" s="20">
        <f t="shared" si="6"/>
        <v>15.394897585072293</v>
      </c>
    </row>
    <row r="62" spans="2:13">
      <c r="B62" s="24" t="s">
        <v>5</v>
      </c>
      <c r="C62" s="7">
        <v>55</v>
      </c>
      <c r="D62" s="10">
        <f t="shared" si="7"/>
        <v>9094207.1099018045</v>
      </c>
      <c r="E62" s="10">
        <f t="shared" si="2"/>
        <v>826746.10090016387</v>
      </c>
      <c r="F62" s="8">
        <v>1.1000000000000001</v>
      </c>
      <c r="G62" s="12">
        <v>1150</v>
      </c>
      <c r="H62" s="15">
        <f t="shared" si="8"/>
        <v>25983.448885433729</v>
      </c>
      <c r="I62" s="10">
        <f t="shared" si="3"/>
        <v>45471.035549509019</v>
      </c>
      <c r="J62" s="14">
        <f t="shared" si="4"/>
        <v>90942.071099018038</v>
      </c>
      <c r="K62" s="19">
        <f t="shared" si="1"/>
        <v>22735.517774754509</v>
      </c>
      <c r="L62" s="9">
        <f t="shared" si="5"/>
        <v>379.9252962459085</v>
      </c>
      <c r="M62" s="20">
        <f t="shared" si="6"/>
        <v>16.830220676912852</v>
      </c>
    </row>
    <row r="63" spans="2:13">
      <c r="B63" s="24" t="s">
        <v>5</v>
      </c>
      <c r="C63" s="7">
        <v>56</v>
      </c>
      <c r="D63" s="10">
        <f t="shared" si="7"/>
        <v>10003627.820891986</v>
      </c>
      <c r="E63" s="10">
        <f t="shared" si="2"/>
        <v>909420.71099018119</v>
      </c>
      <c r="F63" s="8">
        <v>1.1000000000000001</v>
      </c>
      <c r="G63" s="12">
        <v>1200</v>
      </c>
      <c r="H63" s="15">
        <f t="shared" si="8"/>
        <v>28581.7937739771</v>
      </c>
      <c r="I63" s="10">
        <f t="shared" si="3"/>
        <v>50018.13910445993</v>
      </c>
      <c r="J63" s="14">
        <f t="shared" si="4"/>
        <v>100036.27820891986</v>
      </c>
      <c r="K63" s="19">
        <f t="shared" si="1"/>
        <v>25009.069552229965</v>
      </c>
      <c r="L63" s="9">
        <f t="shared" si="5"/>
        <v>417.81782587049941</v>
      </c>
      <c r="M63" s="20">
        <f t="shared" si="6"/>
        <v>18.409076077937474</v>
      </c>
    </row>
    <row r="64" spans="2:13">
      <c r="B64" s="24" t="s">
        <v>5</v>
      </c>
      <c r="C64" s="7">
        <v>57</v>
      </c>
      <c r="D64" s="10">
        <f t="shared" si="7"/>
        <v>11003990.602981186</v>
      </c>
      <c r="E64" s="10">
        <f t="shared" si="2"/>
        <v>1000362.7820891999</v>
      </c>
      <c r="F64" s="8">
        <v>1.1000000000000001</v>
      </c>
      <c r="G64" s="12">
        <v>1250</v>
      </c>
      <c r="H64" s="15">
        <f t="shared" si="8"/>
        <v>31439.973151374816</v>
      </c>
      <c r="I64" s="10">
        <f t="shared" si="3"/>
        <v>55019.953014905928</v>
      </c>
      <c r="J64" s="14">
        <f t="shared" si="4"/>
        <v>110039.90602981186</v>
      </c>
      <c r="K64" s="19">
        <f t="shared" si="1"/>
        <v>27509.976507452964</v>
      </c>
      <c r="L64" s="9">
        <f t="shared" si="5"/>
        <v>459.49960845754941</v>
      </c>
      <c r="M64" s="20">
        <f t="shared" si="6"/>
        <v>20.145817019064559</v>
      </c>
    </row>
    <row r="65" spans="2:13">
      <c r="B65" s="24" t="s">
        <v>5</v>
      </c>
      <c r="C65" s="7">
        <v>58</v>
      </c>
      <c r="D65" s="10">
        <f t="shared" si="7"/>
        <v>12104389.663279304</v>
      </c>
      <c r="E65" s="10">
        <f t="shared" si="2"/>
        <v>1100399.0602981187</v>
      </c>
      <c r="F65" s="8">
        <v>1.1000000000000001</v>
      </c>
      <c r="G65" s="12">
        <v>1300</v>
      </c>
      <c r="H65" s="15">
        <f t="shared" si="8"/>
        <v>34583.970466512299</v>
      </c>
      <c r="I65" s="10">
        <f t="shared" si="3"/>
        <v>60521.94831639652</v>
      </c>
      <c r="J65" s="14">
        <f t="shared" si="4"/>
        <v>121043.89663279304</v>
      </c>
      <c r="K65" s="19">
        <f t="shared" si="1"/>
        <v>30260.97415819826</v>
      </c>
      <c r="L65" s="9">
        <f t="shared" si="5"/>
        <v>505.34956930330435</v>
      </c>
      <c r="M65" s="20">
        <f t="shared" si="6"/>
        <v>22.056232054304349</v>
      </c>
    </row>
    <row r="66" spans="2:13">
      <c r="B66" s="24" t="s">
        <v>5</v>
      </c>
      <c r="C66" s="7">
        <v>59</v>
      </c>
      <c r="D66" s="10">
        <f t="shared" si="7"/>
        <v>13314828.629607236</v>
      </c>
      <c r="E66" s="10">
        <f t="shared" si="2"/>
        <v>1210438.9663279317</v>
      </c>
      <c r="F66" s="8">
        <v>1.1000000000000001</v>
      </c>
      <c r="G66" s="12">
        <v>1350</v>
      </c>
      <c r="H66" s="15">
        <f t="shared" si="8"/>
        <v>38042.367513163532</v>
      </c>
      <c r="I66" s="10">
        <f t="shared" si="3"/>
        <v>66574.143148036179</v>
      </c>
      <c r="J66" s="14">
        <f t="shared" si="4"/>
        <v>133148.28629607236</v>
      </c>
      <c r="K66" s="19">
        <f t="shared" si="1"/>
        <v>33287.071574018089</v>
      </c>
      <c r="L66" s="9">
        <f t="shared" si="5"/>
        <v>555.78452623363478</v>
      </c>
      <c r="M66" s="20">
        <f t="shared" si="6"/>
        <v>24.157688593068116</v>
      </c>
    </row>
    <row r="67" spans="2:13" ht="17.25" thickBot="1">
      <c r="B67" s="25" t="s">
        <v>5</v>
      </c>
      <c r="C67" s="26">
        <v>60</v>
      </c>
      <c r="D67" s="17">
        <f t="shared" si="7"/>
        <v>14646311.49256796</v>
      </c>
      <c r="E67" s="17">
        <f t="shared" si="2"/>
        <v>1331482.8629607242</v>
      </c>
      <c r="F67" s="27">
        <v>1.1000000000000001</v>
      </c>
      <c r="G67" s="28">
        <v>1400</v>
      </c>
      <c r="H67" s="16">
        <f t="shared" si="8"/>
        <v>41846.604264479887</v>
      </c>
      <c r="I67" s="17">
        <f t="shared" si="3"/>
        <v>73231.557462839803</v>
      </c>
      <c r="J67" s="18">
        <f t="shared" si="4"/>
        <v>146463.11492567961</v>
      </c>
      <c r="K67" s="21">
        <f t="shared" si="1"/>
        <v>36615.778731419901</v>
      </c>
      <c r="L67" s="22">
        <f t="shared" si="5"/>
        <v>611.2629788569983</v>
      </c>
      <c r="M67" s="23">
        <f t="shared" si="6"/>
        <v>26.469290785708264</v>
      </c>
    </row>
    <row r="68" spans="2:13">
      <c r="B68" s="29" t="s">
        <v>6</v>
      </c>
      <c r="C68" s="30">
        <v>61</v>
      </c>
      <c r="D68" s="38">
        <f t="shared" si="7"/>
        <v>16110942.641824758</v>
      </c>
      <c r="E68" s="38">
        <f t="shared" si="2"/>
        <v>1464631.1492567975</v>
      </c>
      <c r="F68" s="31">
        <v>1.1000000000000001</v>
      </c>
      <c r="G68" s="32">
        <v>1500</v>
      </c>
      <c r="H68" s="39">
        <f t="shared" si="8"/>
        <v>46031.264690927877</v>
      </c>
      <c r="I68" s="38">
        <f t="shared" si="3"/>
        <v>80554.713209123787</v>
      </c>
      <c r="J68" s="40">
        <f t="shared" si="4"/>
        <v>161109.42641824757</v>
      </c>
      <c r="K68" s="33">
        <f t="shared" si="1"/>
        <v>40277.356604561894</v>
      </c>
      <c r="L68" s="34">
        <f t="shared" si="5"/>
        <v>672.28927674269823</v>
      </c>
      <c r="M68" s="41">
        <f t="shared" si="6"/>
        <v>29.012053197612428</v>
      </c>
    </row>
    <row r="69" spans="2:13">
      <c r="B69" s="24" t="s">
        <v>6</v>
      </c>
      <c r="C69" s="7">
        <v>62</v>
      </c>
      <c r="D69" s="10">
        <f t="shared" si="7"/>
        <v>17722036.906007234</v>
      </c>
      <c r="E69" s="10">
        <f t="shared" si="2"/>
        <v>1611094.2641824763</v>
      </c>
      <c r="F69" s="8">
        <v>1.1000000000000001</v>
      </c>
      <c r="G69" s="12">
        <v>1550</v>
      </c>
      <c r="H69" s="15">
        <f t="shared" si="8"/>
        <v>50634.39116002067</v>
      </c>
      <c r="I69" s="10">
        <f t="shared" si="3"/>
        <v>88610.184530036175</v>
      </c>
      <c r="J69" s="14">
        <f t="shared" si="4"/>
        <v>177220.36906007235</v>
      </c>
      <c r="K69" s="19">
        <f t="shared" si="1"/>
        <v>44305.092265018095</v>
      </c>
      <c r="L69" s="9">
        <f t="shared" si="5"/>
        <v>739.41820441696825</v>
      </c>
      <c r="M69" s="20">
        <f t="shared" si="6"/>
        <v>31.809091850707009</v>
      </c>
    </row>
    <row r="70" spans="2:13">
      <c r="B70" s="24" t="s">
        <v>6</v>
      </c>
      <c r="C70" s="7">
        <v>63</v>
      </c>
      <c r="D70" s="10">
        <f t="shared" si="7"/>
        <v>19494240.596607961</v>
      </c>
      <c r="E70" s="10">
        <f t="shared" si="2"/>
        <v>1772203.6906007268</v>
      </c>
      <c r="F70" s="8">
        <v>1.1000000000000001</v>
      </c>
      <c r="G70" s="12">
        <v>1550</v>
      </c>
      <c r="H70" s="15">
        <f t="shared" si="8"/>
        <v>55697.830276022745</v>
      </c>
      <c r="I70" s="10">
        <f t="shared" si="3"/>
        <v>97471.20298303981</v>
      </c>
      <c r="J70" s="14">
        <f t="shared" si="4"/>
        <v>194942.40596607962</v>
      </c>
      <c r="K70" s="19">
        <f t="shared" si="1"/>
        <v>48735.601491519905</v>
      </c>
      <c r="L70" s="9">
        <f t="shared" si="5"/>
        <v>813.26002485866513</v>
      </c>
      <c r="M70" s="20">
        <f t="shared" si="6"/>
        <v>34.885834369111045</v>
      </c>
    </row>
    <row r="71" spans="2:13">
      <c r="B71" s="24" t="s">
        <v>6</v>
      </c>
      <c r="C71" s="7">
        <v>64</v>
      </c>
      <c r="D71" s="10">
        <f t="shared" si="7"/>
        <v>21443664.656268757</v>
      </c>
      <c r="E71" s="10">
        <f t="shared" si="2"/>
        <v>1949424.0596607961</v>
      </c>
      <c r="F71" s="8">
        <v>1.1000000000000001</v>
      </c>
      <c r="G71" s="12">
        <v>1550</v>
      </c>
      <c r="H71" s="15">
        <f t="shared" si="8"/>
        <v>61267.613303625018</v>
      </c>
      <c r="I71" s="10">
        <f t="shared" si="3"/>
        <v>107218.32328134378</v>
      </c>
      <c r="J71" s="14">
        <f t="shared" si="4"/>
        <v>214436.64656268756</v>
      </c>
      <c r="K71" s="19">
        <f t="shared" si="1"/>
        <v>53609.161640671889</v>
      </c>
      <c r="L71" s="9">
        <f t="shared" si="5"/>
        <v>894.48602734453152</v>
      </c>
      <c r="M71" s="20">
        <f t="shared" si="6"/>
        <v>38.27025113935548</v>
      </c>
    </row>
    <row r="72" spans="2:13">
      <c r="B72" s="24" t="s">
        <v>6</v>
      </c>
      <c r="C72" s="7">
        <v>65</v>
      </c>
      <c r="D72" s="10">
        <f t="shared" si="7"/>
        <v>23588031.121895634</v>
      </c>
      <c r="E72" s="10">
        <f t="shared" si="2"/>
        <v>2144366.4656268768</v>
      </c>
      <c r="F72" s="8">
        <v>1.1000000000000001</v>
      </c>
      <c r="G72" s="12">
        <v>1550</v>
      </c>
      <c r="H72" s="15">
        <f t="shared" ref="H72:H107" si="9">D72/$H$5</f>
        <v>67394.374633987522</v>
      </c>
      <c r="I72" s="10">
        <f t="shared" si="3"/>
        <v>117940.15560947817</v>
      </c>
      <c r="J72" s="14">
        <f t="shared" si="4"/>
        <v>235880.31121895634</v>
      </c>
      <c r="K72" s="19">
        <f t="shared" ref="K72:K107" si="10">I72*$L$3/$K$4</f>
        <v>58970.077804739085</v>
      </c>
      <c r="L72" s="9">
        <f t="shared" si="5"/>
        <v>983.83463007898479</v>
      </c>
      <c r="M72" s="20">
        <f t="shared" si="6"/>
        <v>41.993109586624364</v>
      </c>
    </row>
    <row r="73" spans="2:13">
      <c r="B73" s="24" t="s">
        <v>6</v>
      </c>
      <c r="C73" s="7">
        <v>66</v>
      </c>
      <c r="D73" s="10">
        <f t="shared" si="7"/>
        <v>25946834.234085198</v>
      </c>
      <c r="E73" s="10">
        <f t="shared" ref="E73:E107" si="11">D73-D72</f>
        <v>2358803.1121895649</v>
      </c>
      <c r="F73" s="8">
        <v>1.1000000000000001</v>
      </c>
      <c r="G73" s="12">
        <v>1550</v>
      </c>
      <c r="H73" s="15">
        <f t="shared" si="9"/>
        <v>74133.812097386282</v>
      </c>
      <c r="I73" s="10">
        <f t="shared" ref="I73:I106" si="12">D73/$I$5</f>
        <v>129734.17117042599</v>
      </c>
      <c r="J73" s="14">
        <f t="shared" ref="J73:J107" si="13">D73/$J$5</f>
        <v>259468.34234085199</v>
      </c>
      <c r="K73" s="19">
        <f t="shared" si="10"/>
        <v>64867.085585212997</v>
      </c>
      <c r="L73" s="9">
        <f t="shared" ref="L73:L107" si="14">K73/$L$4+1</f>
        <v>1082.1180930868834</v>
      </c>
      <c r="M73" s="20">
        <f t="shared" ref="M73:M107" si="15">L73/$M$4+1</f>
        <v>46.088253878620144</v>
      </c>
    </row>
    <row r="74" spans="2:13">
      <c r="B74" s="24" t="s">
        <v>6</v>
      </c>
      <c r="C74" s="7">
        <v>67</v>
      </c>
      <c r="D74" s="10">
        <f t="shared" ref="D74:D107" si="16">D73*F74</f>
        <v>28541517.657493722</v>
      </c>
      <c r="E74" s="10">
        <f t="shared" si="11"/>
        <v>2594683.4234085232</v>
      </c>
      <c r="F74" s="8">
        <v>1.1000000000000001</v>
      </c>
      <c r="G74" s="12">
        <v>1550</v>
      </c>
      <c r="H74" s="15">
        <f t="shared" si="9"/>
        <v>81547.193307124922</v>
      </c>
      <c r="I74" s="10">
        <f t="shared" si="12"/>
        <v>142707.58828746862</v>
      </c>
      <c r="J74" s="14">
        <f t="shared" si="13"/>
        <v>285415.17657493724</v>
      </c>
      <c r="K74" s="19">
        <f t="shared" si="10"/>
        <v>71353.794143734311</v>
      </c>
      <c r="L74" s="9">
        <f t="shared" si="14"/>
        <v>1190.2299023955718</v>
      </c>
      <c r="M74" s="20">
        <f t="shared" si="15"/>
        <v>50.592912599815492</v>
      </c>
    </row>
    <row r="75" spans="2:13">
      <c r="B75" s="24" t="s">
        <v>6</v>
      </c>
      <c r="C75" s="7">
        <v>68</v>
      </c>
      <c r="D75" s="10">
        <f t="shared" si="16"/>
        <v>31395669.423243098</v>
      </c>
      <c r="E75" s="10">
        <f t="shared" si="11"/>
        <v>2854151.7657493763</v>
      </c>
      <c r="F75" s="8">
        <v>1.1000000000000001</v>
      </c>
      <c r="G75" s="12">
        <v>1550</v>
      </c>
      <c r="H75" s="15">
        <f t="shared" si="9"/>
        <v>89701.91263783742</v>
      </c>
      <c r="I75" s="10">
        <f t="shared" si="12"/>
        <v>156978.3471162155</v>
      </c>
      <c r="J75" s="14">
        <f t="shared" si="13"/>
        <v>313956.69423243101</v>
      </c>
      <c r="K75" s="19">
        <f t="shared" si="10"/>
        <v>78489.173558107752</v>
      </c>
      <c r="L75" s="9">
        <f t="shared" si="14"/>
        <v>1309.1528926351291</v>
      </c>
      <c r="M75" s="20">
        <f t="shared" si="15"/>
        <v>55.548037193130376</v>
      </c>
    </row>
    <row r="76" spans="2:13">
      <c r="B76" s="24" t="s">
        <v>6</v>
      </c>
      <c r="C76" s="7">
        <v>69</v>
      </c>
      <c r="D76" s="10">
        <f t="shared" si="16"/>
        <v>34535236.365567409</v>
      </c>
      <c r="E76" s="10">
        <f t="shared" si="11"/>
        <v>3139566.9423243105</v>
      </c>
      <c r="F76" s="8">
        <v>1.1000000000000001</v>
      </c>
      <c r="G76" s="12">
        <v>1550</v>
      </c>
      <c r="H76" s="15">
        <f t="shared" si="9"/>
        <v>98672.103901621173</v>
      </c>
      <c r="I76" s="10">
        <f t="shared" si="12"/>
        <v>172676.18182783705</v>
      </c>
      <c r="J76" s="14">
        <f t="shared" si="13"/>
        <v>345352.3636556741</v>
      </c>
      <c r="K76" s="19">
        <f t="shared" si="10"/>
        <v>86338.090913918524</v>
      </c>
      <c r="L76" s="9">
        <f t="shared" si="14"/>
        <v>1439.9681818986421</v>
      </c>
      <c r="M76" s="20">
        <f t="shared" si="15"/>
        <v>60.998674245776755</v>
      </c>
    </row>
    <row r="77" spans="2:13" ht="17.25" thickBot="1">
      <c r="B77" s="53" t="s">
        <v>6</v>
      </c>
      <c r="C77" s="54">
        <v>70</v>
      </c>
      <c r="D77" s="55">
        <f t="shared" si="16"/>
        <v>37988760.002124153</v>
      </c>
      <c r="E77" s="55">
        <f t="shared" si="11"/>
        <v>3453523.6365567446</v>
      </c>
      <c r="F77" s="56">
        <v>1.1000000000000001</v>
      </c>
      <c r="G77" s="57">
        <v>1600</v>
      </c>
      <c r="H77" s="58">
        <f t="shared" si="9"/>
        <v>108539.31429178329</v>
      </c>
      <c r="I77" s="55">
        <f t="shared" si="12"/>
        <v>189943.80001062076</v>
      </c>
      <c r="J77" s="59">
        <f t="shared" si="13"/>
        <v>379887.60002124152</v>
      </c>
      <c r="K77" s="60">
        <f t="shared" si="10"/>
        <v>94971.900005310381</v>
      </c>
      <c r="L77" s="61">
        <f t="shared" si="14"/>
        <v>1583.8650000885063</v>
      </c>
      <c r="M77" s="62">
        <f t="shared" si="15"/>
        <v>66.994375003687765</v>
      </c>
    </row>
    <row r="78" spans="2:13">
      <c r="B78" s="42" t="s">
        <v>7</v>
      </c>
      <c r="C78" s="43">
        <v>71</v>
      </c>
      <c r="D78" s="49">
        <f t="shared" si="16"/>
        <v>41787636.002336569</v>
      </c>
      <c r="E78" s="49">
        <f t="shared" si="11"/>
        <v>3798876.0002124161</v>
      </c>
      <c r="F78" s="44">
        <v>1.1000000000000001</v>
      </c>
      <c r="G78" s="45">
        <v>1800</v>
      </c>
      <c r="H78" s="50">
        <f t="shared" si="9"/>
        <v>119393.24572096163</v>
      </c>
      <c r="I78" s="49">
        <f t="shared" si="12"/>
        <v>208938.18001168285</v>
      </c>
      <c r="J78" s="51">
        <f t="shared" si="13"/>
        <v>417876.36002336571</v>
      </c>
      <c r="K78" s="47">
        <f t="shared" si="10"/>
        <v>104469.09000584143</v>
      </c>
      <c r="L78" s="48">
        <f t="shared" si="14"/>
        <v>1742.151500097357</v>
      </c>
      <c r="M78" s="52">
        <f t="shared" si="15"/>
        <v>73.589645837389881</v>
      </c>
    </row>
    <row r="79" spans="2:13">
      <c r="B79" s="24" t="s">
        <v>7</v>
      </c>
      <c r="C79" s="7">
        <v>72</v>
      </c>
      <c r="D79" s="10">
        <f t="shared" si="16"/>
        <v>45966399.602570228</v>
      </c>
      <c r="E79" s="10">
        <f t="shared" si="11"/>
        <v>4178763.6002336591</v>
      </c>
      <c r="F79" s="8">
        <v>1.1000000000000001</v>
      </c>
      <c r="G79" s="12">
        <v>1900</v>
      </c>
      <c r="H79" s="15">
        <f t="shared" si="9"/>
        <v>131332.5702930578</v>
      </c>
      <c r="I79" s="10">
        <f t="shared" si="12"/>
        <v>229831.99801285114</v>
      </c>
      <c r="J79" s="14">
        <f t="shared" si="13"/>
        <v>459663.99602570228</v>
      </c>
      <c r="K79" s="19">
        <f t="shared" si="10"/>
        <v>114915.99900642557</v>
      </c>
      <c r="L79" s="9">
        <f t="shared" si="14"/>
        <v>1916.2666501070928</v>
      </c>
      <c r="M79" s="20">
        <f t="shared" si="15"/>
        <v>80.844443754462205</v>
      </c>
    </row>
    <row r="80" spans="2:13">
      <c r="B80" s="24" t="s">
        <v>7</v>
      </c>
      <c r="C80" s="7">
        <v>73</v>
      </c>
      <c r="D80" s="10">
        <f t="shared" si="16"/>
        <v>50563039.562827252</v>
      </c>
      <c r="E80" s="10">
        <f t="shared" si="11"/>
        <v>4596639.9602570236</v>
      </c>
      <c r="F80" s="8">
        <v>1.1000000000000001</v>
      </c>
      <c r="G80" s="12">
        <v>2000</v>
      </c>
      <c r="H80" s="15">
        <f t="shared" si="9"/>
        <v>144465.82732236356</v>
      </c>
      <c r="I80" s="10">
        <f t="shared" si="12"/>
        <v>252815.19781413625</v>
      </c>
      <c r="J80" s="14">
        <f t="shared" si="13"/>
        <v>505630.3956282725</v>
      </c>
      <c r="K80" s="19">
        <f t="shared" si="10"/>
        <v>126407.59890706812</v>
      </c>
      <c r="L80" s="9">
        <f t="shared" si="14"/>
        <v>2107.7933151178022</v>
      </c>
      <c r="M80" s="20">
        <f t="shared" si="15"/>
        <v>88.824721463241758</v>
      </c>
    </row>
    <row r="81" spans="2:13">
      <c r="B81" s="24" t="s">
        <v>7</v>
      </c>
      <c r="C81" s="7">
        <v>74</v>
      </c>
      <c r="D81" s="10">
        <f t="shared" si="16"/>
        <v>55619343.519109979</v>
      </c>
      <c r="E81" s="10">
        <f t="shared" si="11"/>
        <v>5056303.9562827274</v>
      </c>
      <c r="F81" s="8">
        <v>1.1000000000000001</v>
      </c>
      <c r="G81" s="12">
        <v>2100</v>
      </c>
      <c r="H81" s="15">
        <f t="shared" si="9"/>
        <v>158912.41005459995</v>
      </c>
      <c r="I81" s="10">
        <f t="shared" si="12"/>
        <v>278096.71759554988</v>
      </c>
      <c r="J81" s="14">
        <f t="shared" si="13"/>
        <v>556193.43519109976</v>
      </c>
      <c r="K81" s="19">
        <f t="shared" si="10"/>
        <v>139048.35879777494</v>
      </c>
      <c r="L81" s="9">
        <f t="shared" si="14"/>
        <v>2318.4726466295824</v>
      </c>
      <c r="M81" s="20">
        <f t="shared" si="15"/>
        <v>97.603026942899263</v>
      </c>
    </row>
    <row r="82" spans="2:13">
      <c r="B82" s="24" t="s">
        <v>7</v>
      </c>
      <c r="C82" s="7">
        <v>75</v>
      </c>
      <c r="D82" s="10">
        <f t="shared" si="16"/>
        <v>61181277.87102098</v>
      </c>
      <c r="E82" s="10">
        <f t="shared" si="11"/>
        <v>5561934.3519110009</v>
      </c>
      <c r="F82" s="8">
        <v>1.1000000000000001</v>
      </c>
      <c r="G82" s="12">
        <v>2200</v>
      </c>
      <c r="H82" s="15">
        <f t="shared" si="9"/>
        <v>174803.65106005996</v>
      </c>
      <c r="I82" s="10">
        <f t="shared" si="12"/>
        <v>305906.38935510488</v>
      </c>
      <c r="J82" s="14">
        <f t="shared" si="13"/>
        <v>611812.77871020976</v>
      </c>
      <c r="K82" s="19">
        <f t="shared" si="10"/>
        <v>152953.19467755247</v>
      </c>
      <c r="L82" s="9">
        <f t="shared" si="14"/>
        <v>2550.2199112925414</v>
      </c>
      <c r="M82" s="20">
        <f t="shared" si="15"/>
        <v>107.25916297052255</v>
      </c>
    </row>
    <row r="83" spans="2:13">
      <c r="B83" s="24" t="s">
        <v>7</v>
      </c>
      <c r="C83" s="7">
        <v>76</v>
      </c>
      <c r="D83" s="10">
        <f t="shared" si="16"/>
        <v>67299405.658123091</v>
      </c>
      <c r="E83" s="10">
        <f t="shared" si="11"/>
        <v>6118127.7871021107</v>
      </c>
      <c r="F83" s="8">
        <v>1.1000000000000001</v>
      </c>
      <c r="G83" s="12">
        <v>2300</v>
      </c>
      <c r="H83" s="15">
        <f t="shared" si="9"/>
        <v>192284.01616606597</v>
      </c>
      <c r="I83" s="10">
        <f t="shared" si="12"/>
        <v>336497.02829061548</v>
      </c>
      <c r="J83" s="14">
        <f t="shared" si="13"/>
        <v>672994.05658123095</v>
      </c>
      <c r="K83" s="19">
        <f t="shared" si="10"/>
        <v>168248.51414530774</v>
      </c>
      <c r="L83" s="9">
        <f t="shared" si="14"/>
        <v>2805.1419024217957</v>
      </c>
      <c r="M83" s="20">
        <f t="shared" si="15"/>
        <v>117.88091260090816</v>
      </c>
    </row>
    <row r="84" spans="2:13">
      <c r="B84" s="24" t="s">
        <v>7</v>
      </c>
      <c r="C84" s="7">
        <v>77</v>
      </c>
      <c r="D84" s="10">
        <f t="shared" si="16"/>
        <v>74029346.22393541</v>
      </c>
      <c r="E84" s="10">
        <f t="shared" si="11"/>
        <v>6729940.5658123195</v>
      </c>
      <c r="F84" s="8">
        <v>1.1000000000000001</v>
      </c>
      <c r="G84" s="12">
        <v>2400</v>
      </c>
      <c r="H84" s="15">
        <f t="shared" si="9"/>
        <v>211512.41778267259</v>
      </c>
      <c r="I84" s="10">
        <f t="shared" si="12"/>
        <v>370146.73111967708</v>
      </c>
      <c r="J84" s="14">
        <f t="shared" si="13"/>
        <v>740293.46223935415</v>
      </c>
      <c r="K84" s="19">
        <f t="shared" si="10"/>
        <v>185073.36555983854</v>
      </c>
      <c r="L84" s="9">
        <f t="shared" si="14"/>
        <v>3085.5560926639755</v>
      </c>
      <c r="M84" s="20">
        <f t="shared" si="15"/>
        <v>129.56483719433231</v>
      </c>
    </row>
    <row r="85" spans="2:13">
      <c r="B85" s="24" t="s">
        <v>7</v>
      </c>
      <c r="C85" s="7">
        <v>78</v>
      </c>
      <c r="D85" s="10">
        <f t="shared" si="16"/>
        <v>81432280.846328959</v>
      </c>
      <c r="E85" s="10">
        <f t="shared" si="11"/>
        <v>7402934.6223935485</v>
      </c>
      <c r="F85" s="8">
        <v>1.1000000000000001</v>
      </c>
      <c r="G85" s="12">
        <v>2500</v>
      </c>
      <c r="H85" s="15">
        <f t="shared" si="9"/>
        <v>232663.65956093988</v>
      </c>
      <c r="I85" s="10">
        <f t="shared" si="12"/>
        <v>407161.40423164482</v>
      </c>
      <c r="J85" s="14">
        <f t="shared" si="13"/>
        <v>814322.80846328964</v>
      </c>
      <c r="K85" s="19">
        <f t="shared" si="10"/>
        <v>203580.70211582241</v>
      </c>
      <c r="L85" s="9">
        <f t="shared" si="14"/>
        <v>3394.0117019303734</v>
      </c>
      <c r="M85" s="20">
        <f t="shared" si="15"/>
        <v>142.41715424709889</v>
      </c>
    </row>
    <row r="86" spans="2:13">
      <c r="B86" s="24" t="s">
        <v>7</v>
      </c>
      <c r="C86" s="7">
        <v>79</v>
      </c>
      <c r="D86" s="10">
        <f t="shared" si="16"/>
        <v>89575508.930961862</v>
      </c>
      <c r="E86" s="10">
        <f t="shared" si="11"/>
        <v>8143228.0846329033</v>
      </c>
      <c r="F86" s="8">
        <v>1.1000000000000001</v>
      </c>
      <c r="G86" s="12">
        <v>2600</v>
      </c>
      <c r="H86" s="15">
        <f t="shared" si="9"/>
        <v>255930.02551703388</v>
      </c>
      <c r="I86" s="10">
        <f t="shared" si="12"/>
        <v>447877.54465480929</v>
      </c>
      <c r="J86" s="14">
        <f t="shared" si="13"/>
        <v>895755.08930961858</v>
      </c>
      <c r="K86" s="19">
        <f t="shared" si="10"/>
        <v>223938.77232740464</v>
      </c>
      <c r="L86" s="9">
        <f t="shared" si="14"/>
        <v>3733.3128721234107</v>
      </c>
      <c r="M86" s="20">
        <f t="shared" si="15"/>
        <v>156.5547030051421</v>
      </c>
    </row>
    <row r="87" spans="2:13" ht="17.25" thickBot="1">
      <c r="B87" s="25" t="s">
        <v>7</v>
      </c>
      <c r="C87" s="26">
        <v>80</v>
      </c>
      <c r="D87" s="17">
        <f t="shared" si="16"/>
        <v>98533059.824058056</v>
      </c>
      <c r="E87" s="17">
        <f t="shared" si="11"/>
        <v>8957550.8930961937</v>
      </c>
      <c r="F87" s="27">
        <v>1.1000000000000001</v>
      </c>
      <c r="G87" s="28">
        <v>2700</v>
      </c>
      <c r="H87" s="16">
        <f t="shared" si="9"/>
        <v>281523.0280687373</v>
      </c>
      <c r="I87" s="17">
        <f t="shared" si="12"/>
        <v>492665.29912029026</v>
      </c>
      <c r="J87" s="18">
        <f t="shared" si="13"/>
        <v>985330.59824058053</v>
      </c>
      <c r="K87" s="21">
        <f t="shared" si="10"/>
        <v>246332.64956014513</v>
      </c>
      <c r="L87" s="22">
        <f t="shared" si="14"/>
        <v>4106.5441593357518</v>
      </c>
      <c r="M87" s="23">
        <f t="shared" si="15"/>
        <v>172.10600663898967</v>
      </c>
    </row>
    <row r="88" spans="2:13">
      <c r="B88" s="29" t="s">
        <v>8</v>
      </c>
      <c r="C88" s="30">
        <v>81</v>
      </c>
      <c r="D88" s="38">
        <f t="shared" si="16"/>
        <v>108386365.80646387</v>
      </c>
      <c r="E88" s="38">
        <f t="shared" si="11"/>
        <v>9853305.9824058115</v>
      </c>
      <c r="F88" s="44">
        <v>1.1000000000000001</v>
      </c>
      <c r="G88" s="32">
        <v>2900</v>
      </c>
      <c r="H88" s="39">
        <f t="shared" si="9"/>
        <v>309675.33087561105</v>
      </c>
      <c r="I88" s="38">
        <f t="shared" si="12"/>
        <v>541931.82903231937</v>
      </c>
      <c r="J88" s="40">
        <f t="shared" si="13"/>
        <v>1083863.6580646387</v>
      </c>
      <c r="K88" s="33">
        <f t="shared" si="10"/>
        <v>270965.91451615968</v>
      </c>
      <c r="L88" s="34">
        <f t="shared" si="14"/>
        <v>4517.0985752693277</v>
      </c>
      <c r="M88" s="41">
        <f t="shared" si="15"/>
        <v>189.212440636222</v>
      </c>
    </row>
    <row r="89" spans="2:13">
      <c r="B89" s="24" t="s">
        <v>8</v>
      </c>
      <c r="C89" s="7">
        <v>82</v>
      </c>
      <c r="D89" s="10">
        <f t="shared" si="16"/>
        <v>119225002.38711026</v>
      </c>
      <c r="E89" s="10">
        <f t="shared" si="11"/>
        <v>10838636.580646396</v>
      </c>
      <c r="F89" s="8">
        <v>1.1000000000000001</v>
      </c>
      <c r="G89" s="12">
        <v>3000</v>
      </c>
      <c r="H89" s="15">
        <f t="shared" si="9"/>
        <v>340642.86396317219</v>
      </c>
      <c r="I89" s="10">
        <f t="shared" si="12"/>
        <v>596125.0119355513</v>
      </c>
      <c r="J89" s="14">
        <f t="shared" si="13"/>
        <v>1192250.0238711026</v>
      </c>
      <c r="K89" s="19">
        <f t="shared" si="10"/>
        <v>298062.50596777565</v>
      </c>
      <c r="L89" s="9">
        <f t="shared" si="14"/>
        <v>4968.7084327962611</v>
      </c>
      <c r="M89" s="20">
        <f t="shared" si="15"/>
        <v>208.02951803317754</v>
      </c>
    </row>
    <row r="90" spans="2:13">
      <c r="B90" s="24" t="s">
        <v>8</v>
      </c>
      <c r="C90" s="7">
        <v>83</v>
      </c>
      <c r="D90" s="10">
        <f t="shared" si="16"/>
        <v>131147502.62582131</v>
      </c>
      <c r="E90" s="10">
        <f t="shared" si="11"/>
        <v>11922500.238711044</v>
      </c>
      <c r="F90" s="8">
        <v>1.1000000000000001</v>
      </c>
      <c r="G90" s="12">
        <v>3100</v>
      </c>
      <c r="H90" s="15">
        <f t="shared" si="9"/>
        <v>374707.15035948943</v>
      </c>
      <c r="I90" s="10">
        <f t="shared" si="12"/>
        <v>655737.51312910649</v>
      </c>
      <c r="J90" s="14">
        <f t="shared" si="13"/>
        <v>1311475.026258213</v>
      </c>
      <c r="K90" s="19">
        <f t="shared" si="10"/>
        <v>327868.75656455324</v>
      </c>
      <c r="L90" s="9">
        <f t="shared" si="14"/>
        <v>5465.4792760758874</v>
      </c>
      <c r="M90" s="20">
        <f t="shared" si="15"/>
        <v>228.72830316982865</v>
      </c>
    </row>
    <row r="91" spans="2:13">
      <c r="B91" s="24" t="s">
        <v>8</v>
      </c>
      <c r="C91" s="7">
        <v>84</v>
      </c>
      <c r="D91" s="10">
        <f t="shared" si="16"/>
        <v>144262252.88840345</v>
      </c>
      <c r="E91" s="10">
        <f t="shared" si="11"/>
        <v>13114750.262582138</v>
      </c>
      <c r="F91" s="8">
        <v>1.1000000000000001</v>
      </c>
      <c r="G91" s="12">
        <v>3200</v>
      </c>
      <c r="H91" s="15">
        <f t="shared" si="9"/>
        <v>412177.86539543839</v>
      </c>
      <c r="I91" s="10">
        <f t="shared" si="12"/>
        <v>721311.26444201719</v>
      </c>
      <c r="J91" s="14">
        <f t="shared" si="13"/>
        <v>1442622.5288840344</v>
      </c>
      <c r="K91" s="19">
        <f t="shared" si="10"/>
        <v>360655.63222100859</v>
      </c>
      <c r="L91" s="9">
        <f t="shared" si="14"/>
        <v>6011.9272036834764</v>
      </c>
      <c r="M91" s="20">
        <f t="shared" si="15"/>
        <v>251.49696682014485</v>
      </c>
    </row>
    <row r="92" spans="2:13">
      <c r="B92" s="24" t="s">
        <v>8</v>
      </c>
      <c r="C92" s="7">
        <v>85</v>
      </c>
      <c r="D92" s="10">
        <f t="shared" si="16"/>
        <v>158688478.1772438</v>
      </c>
      <c r="E92" s="10">
        <f t="shared" si="11"/>
        <v>14426225.288840353</v>
      </c>
      <c r="F92" s="8">
        <v>1.1000000000000001</v>
      </c>
      <c r="G92" s="12">
        <v>3300</v>
      </c>
      <c r="H92" s="15">
        <f t="shared" si="9"/>
        <v>453395.65193498228</v>
      </c>
      <c r="I92" s="10">
        <f t="shared" si="12"/>
        <v>793442.39088621899</v>
      </c>
      <c r="J92" s="14">
        <f t="shared" si="13"/>
        <v>1586884.781772438</v>
      </c>
      <c r="K92" s="19">
        <f t="shared" si="10"/>
        <v>396721.19544310949</v>
      </c>
      <c r="L92" s="9">
        <f t="shared" si="14"/>
        <v>6613.019924051825</v>
      </c>
      <c r="M92" s="20">
        <f t="shared" si="15"/>
        <v>276.54249683549273</v>
      </c>
    </row>
    <row r="93" spans="2:13">
      <c r="B93" s="24" t="s">
        <v>8</v>
      </c>
      <c r="C93" s="7">
        <v>86</v>
      </c>
      <c r="D93" s="10">
        <f t="shared" si="16"/>
        <v>174557325.99496821</v>
      </c>
      <c r="E93" s="10">
        <f t="shared" si="11"/>
        <v>15868847.817724407</v>
      </c>
      <c r="F93" s="8">
        <v>1.1000000000000001</v>
      </c>
      <c r="G93" s="12">
        <v>3400</v>
      </c>
      <c r="H93" s="15">
        <f t="shared" si="9"/>
        <v>498735.21712848061</v>
      </c>
      <c r="I93" s="10">
        <f t="shared" si="12"/>
        <v>872786.62997484102</v>
      </c>
      <c r="J93" s="14">
        <f t="shared" si="13"/>
        <v>1745573.259949682</v>
      </c>
      <c r="K93" s="19">
        <f t="shared" si="10"/>
        <v>436393.31498742051</v>
      </c>
      <c r="L93" s="9">
        <f t="shared" si="14"/>
        <v>7274.2219164570088</v>
      </c>
      <c r="M93" s="20">
        <f t="shared" si="15"/>
        <v>304.09257985237537</v>
      </c>
    </row>
    <row r="94" spans="2:13">
      <c r="B94" s="24" t="s">
        <v>8</v>
      </c>
      <c r="C94" s="7">
        <v>87</v>
      </c>
      <c r="D94" s="10">
        <f t="shared" si="16"/>
        <v>192013058.59446505</v>
      </c>
      <c r="E94" s="10">
        <f t="shared" si="11"/>
        <v>17455732.599496841</v>
      </c>
      <c r="F94" s="8">
        <v>1.1000000000000001</v>
      </c>
      <c r="G94" s="12">
        <v>3500</v>
      </c>
      <c r="H94" s="15">
        <f t="shared" si="9"/>
        <v>548608.73884132865</v>
      </c>
      <c r="I94" s="10">
        <f t="shared" si="12"/>
        <v>960065.29297232523</v>
      </c>
      <c r="J94" s="14">
        <f t="shared" si="13"/>
        <v>1920130.5859446505</v>
      </c>
      <c r="K94" s="19">
        <f t="shared" si="10"/>
        <v>480032.64648616262</v>
      </c>
      <c r="L94" s="9">
        <f t="shared" si="14"/>
        <v>8001.5441081027102</v>
      </c>
      <c r="M94" s="20">
        <f t="shared" si="15"/>
        <v>334.39767117094624</v>
      </c>
    </row>
    <row r="95" spans="2:13">
      <c r="B95" s="24" t="s">
        <v>8</v>
      </c>
      <c r="C95" s="7">
        <v>88</v>
      </c>
      <c r="D95" s="10">
        <f t="shared" si="16"/>
        <v>211214364.45391157</v>
      </c>
      <c r="E95" s="10">
        <f t="shared" si="11"/>
        <v>19201305.859446526</v>
      </c>
      <c r="F95" s="8">
        <v>1.1000000000000001</v>
      </c>
      <c r="G95" s="12">
        <v>3600</v>
      </c>
      <c r="H95" s="15">
        <f t="shared" si="9"/>
        <v>603469.6127254616</v>
      </c>
      <c r="I95" s="10">
        <f t="shared" si="12"/>
        <v>1056071.822269558</v>
      </c>
      <c r="J95" s="14">
        <f t="shared" si="13"/>
        <v>2112143.644539116</v>
      </c>
      <c r="K95" s="19">
        <f t="shared" si="10"/>
        <v>528035.91113477899</v>
      </c>
      <c r="L95" s="9">
        <f t="shared" si="14"/>
        <v>8801.5985189129824</v>
      </c>
      <c r="M95" s="20">
        <f t="shared" si="15"/>
        <v>367.73327162137429</v>
      </c>
    </row>
    <row r="96" spans="2:13">
      <c r="B96" s="24" t="s">
        <v>8</v>
      </c>
      <c r="C96" s="7">
        <v>89</v>
      </c>
      <c r="D96" s="10">
        <f t="shared" si="16"/>
        <v>232335800.89930275</v>
      </c>
      <c r="E96" s="10">
        <f t="shared" si="11"/>
        <v>21121436.445391178</v>
      </c>
      <c r="F96" s="8">
        <v>1.1000000000000001</v>
      </c>
      <c r="G96" s="12">
        <v>3700</v>
      </c>
      <c r="H96" s="15">
        <f t="shared" si="9"/>
        <v>663816.57399800781</v>
      </c>
      <c r="I96" s="10">
        <f t="shared" si="12"/>
        <v>1161679.0044965139</v>
      </c>
      <c r="J96" s="14">
        <f t="shared" si="13"/>
        <v>2323358.0089930277</v>
      </c>
      <c r="K96" s="19">
        <f t="shared" si="10"/>
        <v>580839.50224825693</v>
      </c>
      <c r="L96" s="9">
        <f t="shared" si="14"/>
        <v>9681.6583708042817</v>
      </c>
      <c r="M96" s="20">
        <f t="shared" si="15"/>
        <v>404.40243211684509</v>
      </c>
    </row>
    <row r="97" spans="2:13" ht="17.25" thickBot="1">
      <c r="B97" s="53" t="s">
        <v>8</v>
      </c>
      <c r="C97" s="54">
        <v>90</v>
      </c>
      <c r="D97" s="55">
        <f t="shared" si="16"/>
        <v>255569380.98923305</v>
      </c>
      <c r="E97" s="55">
        <f t="shared" si="11"/>
        <v>23233580.089930296</v>
      </c>
      <c r="F97" s="27">
        <v>1.1000000000000001</v>
      </c>
      <c r="G97" s="57">
        <v>3800</v>
      </c>
      <c r="H97" s="58">
        <f t="shared" si="9"/>
        <v>730198.23139780876</v>
      </c>
      <c r="I97" s="55">
        <f t="shared" si="12"/>
        <v>1277846.9049461652</v>
      </c>
      <c r="J97" s="59">
        <f t="shared" si="13"/>
        <v>2555693.8098923303</v>
      </c>
      <c r="K97" s="60">
        <f t="shared" si="10"/>
        <v>638923.4524730827</v>
      </c>
      <c r="L97" s="61">
        <f t="shared" si="14"/>
        <v>10649.724207884712</v>
      </c>
      <c r="M97" s="62">
        <f t="shared" si="15"/>
        <v>444.73850866186302</v>
      </c>
    </row>
    <row r="98" spans="2:13">
      <c r="B98" s="42" t="s">
        <v>9</v>
      </c>
      <c r="C98" s="43">
        <v>91</v>
      </c>
      <c r="D98" s="49">
        <f t="shared" si="16"/>
        <v>281126319.0881564</v>
      </c>
      <c r="E98" s="49">
        <f t="shared" si="11"/>
        <v>25556938.098923355</v>
      </c>
      <c r="F98" s="44">
        <v>1.1000000000000001</v>
      </c>
      <c r="G98" s="45">
        <v>4000</v>
      </c>
      <c r="H98" s="50">
        <f t="shared" si="9"/>
        <v>803218.05453758978</v>
      </c>
      <c r="I98" s="49">
        <f t="shared" si="12"/>
        <v>1405631.5954407819</v>
      </c>
      <c r="J98" s="51">
        <f t="shared" si="13"/>
        <v>2811263.1908815638</v>
      </c>
      <c r="K98" s="47">
        <f t="shared" si="10"/>
        <v>702815.79772039095</v>
      </c>
      <c r="L98" s="48">
        <f t="shared" si="14"/>
        <v>11714.596628673182</v>
      </c>
      <c r="M98" s="52">
        <f t="shared" si="15"/>
        <v>489.10819286138258</v>
      </c>
    </row>
    <row r="99" spans="2:13">
      <c r="B99" s="24" t="s">
        <v>9</v>
      </c>
      <c r="C99" s="7">
        <v>92</v>
      </c>
      <c r="D99" s="10">
        <f t="shared" si="16"/>
        <v>309238950.99697208</v>
      </c>
      <c r="E99" s="10">
        <f t="shared" si="11"/>
        <v>28112631.908815682</v>
      </c>
      <c r="F99" s="8">
        <v>1.1000000000000001</v>
      </c>
      <c r="G99" s="12">
        <v>4100</v>
      </c>
      <c r="H99" s="15">
        <f t="shared" si="9"/>
        <v>883539.85999134881</v>
      </c>
      <c r="I99" s="10">
        <f t="shared" si="12"/>
        <v>1546194.7549848603</v>
      </c>
      <c r="J99" s="14">
        <f t="shared" si="13"/>
        <v>3092389.5099697206</v>
      </c>
      <c r="K99" s="19">
        <f t="shared" si="10"/>
        <v>773097.37749243015</v>
      </c>
      <c r="L99" s="9">
        <f t="shared" si="14"/>
        <v>12885.956291540502</v>
      </c>
      <c r="M99" s="20">
        <f t="shared" si="15"/>
        <v>537.9148454808543</v>
      </c>
    </row>
    <row r="100" spans="2:13">
      <c r="B100" s="24" t="s">
        <v>9</v>
      </c>
      <c r="C100" s="7">
        <v>93</v>
      </c>
      <c r="D100" s="10">
        <f t="shared" si="16"/>
        <v>340162846.09666932</v>
      </c>
      <c r="E100" s="10">
        <f t="shared" si="11"/>
        <v>30923895.099697232</v>
      </c>
      <c r="F100" s="8">
        <v>1.1000000000000001</v>
      </c>
      <c r="G100" s="12">
        <v>4200</v>
      </c>
      <c r="H100" s="15">
        <f t="shared" si="9"/>
        <v>971893.84599048377</v>
      </c>
      <c r="I100" s="10">
        <f t="shared" si="12"/>
        <v>1700814.2304833466</v>
      </c>
      <c r="J100" s="14">
        <f t="shared" si="13"/>
        <v>3401628.4609666932</v>
      </c>
      <c r="K100" s="19">
        <f t="shared" si="10"/>
        <v>850407.11524167331</v>
      </c>
      <c r="L100" s="9">
        <f t="shared" si="14"/>
        <v>14174.451920694555</v>
      </c>
      <c r="M100" s="20">
        <f t="shared" si="15"/>
        <v>591.60216336227313</v>
      </c>
    </row>
    <row r="101" spans="2:13">
      <c r="B101" s="24" t="s">
        <v>9</v>
      </c>
      <c r="C101" s="7">
        <v>94</v>
      </c>
      <c r="D101" s="10">
        <f t="shared" si="16"/>
        <v>374179130.70633626</v>
      </c>
      <c r="E101" s="10">
        <f t="shared" si="11"/>
        <v>34016284.609666944</v>
      </c>
      <c r="F101" s="8">
        <v>1.1000000000000001</v>
      </c>
      <c r="G101" s="12">
        <v>4300</v>
      </c>
      <c r="H101" s="15">
        <f t="shared" si="9"/>
        <v>1069083.2305895321</v>
      </c>
      <c r="I101" s="10">
        <f t="shared" si="12"/>
        <v>1870895.6535316813</v>
      </c>
      <c r="J101" s="14">
        <f t="shared" si="13"/>
        <v>3741791.3070633626</v>
      </c>
      <c r="K101" s="19">
        <f t="shared" si="10"/>
        <v>935447.82676584064</v>
      </c>
      <c r="L101" s="9">
        <f t="shared" si="14"/>
        <v>15591.79711276401</v>
      </c>
      <c r="M101" s="20">
        <f t="shared" si="15"/>
        <v>650.65821303183372</v>
      </c>
    </row>
    <row r="102" spans="2:13">
      <c r="B102" s="24" t="s">
        <v>9</v>
      </c>
      <c r="C102" s="7">
        <v>95</v>
      </c>
      <c r="D102" s="10">
        <f t="shared" si="16"/>
        <v>411597043.77696991</v>
      </c>
      <c r="E102" s="10">
        <f t="shared" si="11"/>
        <v>37417913.07063365</v>
      </c>
      <c r="F102" s="8">
        <v>1.1000000000000001</v>
      </c>
      <c r="G102" s="12">
        <v>4400</v>
      </c>
      <c r="H102" s="15">
        <f t="shared" si="9"/>
        <v>1175991.5536484856</v>
      </c>
      <c r="I102" s="10">
        <f t="shared" si="12"/>
        <v>2057985.2188848495</v>
      </c>
      <c r="J102" s="14">
        <f t="shared" si="13"/>
        <v>4115970.4377696989</v>
      </c>
      <c r="K102" s="19">
        <f t="shared" si="10"/>
        <v>1028992.6094424247</v>
      </c>
      <c r="L102" s="9">
        <f t="shared" si="14"/>
        <v>17150.876824040413</v>
      </c>
      <c r="M102" s="20">
        <f t="shared" si="15"/>
        <v>715.61986766835059</v>
      </c>
    </row>
    <row r="103" spans="2:13">
      <c r="B103" s="24" t="s">
        <v>9</v>
      </c>
      <c r="C103" s="7">
        <v>96</v>
      </c>
      <c r="D103" s="10">
        <f t="shared" si="16"/>
        <v>452756748.15466696</v>
      </c>
      <c r="E103" s="10">
        <f t="shared" si="11"/>
        <v>41159704.377697051</v>
      </c>
      <c r="F103" s="8">
        <v>1.1000000000000001</v>
      </c>
      <c r="G103" s="12">
        <v>4500</v>
      </c>
      <c r="H103" s="15">
        <f t="shared" si="9"/>
        <v>1293590.7090133342</v>
      </c>
      <c r="I103" s="10">
        <f t="shared" si="12"/>
        <v>2263783.7407733346</v>
      </c>
      <c r="J103" s="14">
        <f t="shared" si="13"/>
        <v>4527567.4815466693</v>
      </c>
      <c r="K103" s="19">
        <f t="shared" si="10"/>
        <v>1131891.8703866673</v>
      </c>
      <c r="L103" s="9">
        <f t="shared" si="14"/>
        <v>18865.864506444454</v>
      </c>
      <c r="M103" s="20">
        <f t="shared" si="15"/>
        <v>787.0776877685189</v>
      </c>
    </row>
    <row r="104" spans="2:13">
      <c r="B104" s="24" t="s">
        <v>9</v>
      </c>
      <c r="C104" s="7">
        <v>97</v>
      </c>
      <c r="D104" s="10">
        <f t="shared" si="16"/>
        <v>498032422.97013372</v>
      </c>
      <c r="E104" s="10">
        <f t="shared" si="11"/>
        <v>45275674.815466762</v>
      </c>
      <c r="F104" s="8">
        <v>1.1000000000000001</v>
      </c>
      <c r="G104" s="12">
        <v>4600</v>
      </c>
      <c r="H104" s="15">
        <f t="shared" si="9"/>
        <v>1422949.7799146678</v>
      </c>
      <c r="I104" s="10">
        <f t="shared" si="12"/>
        <v>2490162.1148506687</v>
      </c>
      <c r="J104" s="14">
        <f t="shared" si="13"/>
        <v>4980324.2297013374</v>
      </c>
      <c r="K104" s="19">
        <f t="shared" si="10"/>
        <v>1245081.0574253344</v>
      </c>
      <c r="L104" s="9">
        <f t="shared" si="14"/>
        <v>20752.350957088907</v>
      </c>
      <c r="M104" s="20">
        <f t="shared" si="15"/>
        <v>865.68128987870443</v>
      </c>
    </row>
    <row r="105" spans="2:13">
      <c r="B105" s="24" t="s">
        <v>9</v>
      </c>
      <c r="C105" s="7">
        <v>98</v>
      </c>
      <c r="D105" s="10">
        <f t="shared" si="16"/>
        <v>547835665.26714718</v>
      </c>
      <c r="E105" s="10">
        <f t="shared" si="11"/>
        <v>49803242.297013462</v>
      </c>
      <c r="F105" s="8">
        <v>1.1000000000000001</v>
      </c>
      <c r="G105" s="12">
        <v>4700</v>
      </c>
      <c r="H105" s="15">
        <f t="shared" si="9"/>
        <v>1565244.7579061347</v>
      </c>
      <c r="I105" s="10">
        <f t="shared" si="12"/>
        <v>2739178.3263357361</v>
      </c>
      <c r="J105" s="14">
        <f t="shared" si="13"/>
        <v>5478356.6526714722</v>
      </c>
      <c r="K105" s="19">
        <f t="shared" si="10"/>
        <v>1369589.163167868</v>
      </c>
      <c r="L105" s="9">
        <f t="shared" si="14"/>
        <v>22827.486052797802</v>
      </c>
      <c r="M105" s="20">
        <f t="shared" si="15"/>
        <v>952.14525219990844</v>
      </c>
    </row>
    <row r="106" spans="2:13">
      <c r="B106" s="24" t="s">
        <v>9</v>
      </c>
      <c r="C106" s="7">
        <v>99</v>
      </c>
      <c r="D106" s="10">
        <f t="shared" si="16"/>
        <v>602619231.79386199</v>
      </c>
      <c r="E106" s="10">
        <f t="shared" si="11"/>
        <v>54783566.526714802</v>
      </c>
      <c r="F106" s="8">
        <v>1.1000000000000001</v>
      </c>
      <c r="G106" s="12">
        <v>4800</v>
      </c>
      <c r="H106" s="15">
        <f t="shared" si="9"/>
        <v>1721769.2336967485</v>
      </c>
      <c r="I106" s="10">
        <f t="shared" si="12"/>
        <v>3013096.1589693101</v>
      </c>
      <c r="J106" s="14">
        <f t="shared" si="13"/>
        <v>6026192.3179386202</v>
      </c>
      <c r="K106" s="19">
        <f t="shared" si="10"/>
        <v>1506548.0794846551</v>
      </c>
      <c r="L106" s="9">
        <f t="shared" si="14"/>
        <v>25110.134658077583</v>
      </c>
      <c r="M106" s="20">
        <f t="shared" si="15"/>
        <v>1047.2556107532325</v>
      </c>
    </row>
    <row r="107" spans="2:13" ht="17.25" thickBot="1">
      <c r="B107" s="25" t="s">
        <v>9</v>
      </c>
      <c r="C107" s="26">
        <v>100</v>
      </c>
      <c r="D107" s="17">
        <f t="shared" si="16"/>
        <v>662881154.97324824</v>
      </c>
      <c r="E107" s="17">
        <f t="shared" si="11"/>
        <v>60261923.179386258</v>
      </c>
      <c r="F107" s="27">
        <v>1.1000000000000001</v>
      </c>
      <c r="G107" s="28">
        <v>5000</v>
      </c>
      <c r="H107" s="16">
        <f t="shared" si="9"/>
        <v>1893946.1570664234</v>
      </c>
      <c r="I107" s="17">
        <f t="shared" ref="I107" si="17">D107/$I$5</f>
        <v>3314405.774866241</v>
      </c>
      <c r="J107" s="18">
        <f t="shared" si="13"/>
        <v>6628811.5497324821</v>
      </c>
      <c r="K107" s="21">
        <f t="shared" si="10"/>
        <v>1657202.8874331205</v>
      </c>
      <c r="L107" s="22">
        <f t="shared" si="14"/>
        <v>27621.048123885343</v>
      </c>
      <c r="M107" s="23">
        <f t="shared" si="15"/>
        <v>1151.8770051618892</v>
      </c>
    </row>
  </sheetData>
  <mergeCells count="1">
    <mergeCell ref="K5:M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D13"/>
  <sheetViews>
    <sheetView workbookViewId="0">
      <selection activeCell="G11" sqref="G11"/>
    </sheetView>
  </sheetViews>
  <sheetFormatPr defaultRowHeight="16.5"/>
  <cols>
    <col min="3" max="3" width="9.875" customWidth="1"/>
    <col min="4" max="4" width="18.625" bestFit="1" customWidth="1"/>
  </cols>
  <sheetData>
    <row r="2" spans="2:4">
      <c r="B2" s="1" t="s">
        <v>93</v>
      </c>
      <c r="C2" s="1"/>
    </row>
    <row r="3" spans="2:4">
      <c r="B3" s="2" t="s">
        <v>14</v>
      </c>
      <c r="C3" s="2" t="s">
        <v>15</v>
      </c>
      <c r="D3" t="s">
        <v>87</v>
      </c>
    </row>
    <row r="4" spans="2:4">
      <c r="B4" s="3">
        <v>1</v>
      </c>
      <c r="C4">
        <v>100</v>
      </c>
      <c r="D4">
        <v>1</v>
      </c>
    </row>
    <row r="5" spans="2:4">
      <c r="B5" s="3">
        <v>2</v>
      </c>
      <c r="C5">
        <v>200</v>
      </c>
      <c r="D5">
        <v>2</v>
      </c>
    </row>
    <row r="6" spans="2:4">
      <c r="B6" s="3">
        <v>3</v>
      </c>
      <c r="C6">
        <v>400</v>
      </c>
      <c r="D6">
        <v>4</v>
      </c>
    </row>
    <row r="7" spans="2:4">
      <c r="B7" s="3">
        <v>4</v>
      </c>
      <c r="C7">
        <v>700</v>
      </c>
      <c r="D7">
        <v>7</v>
      </c>
    </row>
    <row r="8" spans="2:4">
      <c r="B8" s="3"/>
    </row>
    <row r="9" spans="2:4">
      <c r="B9" s="3"/>
    </row>
    <row r="10" spans="2:4">
      <c r="B10" s="3"/>
    </row>
    <row r="11" spans="2:4">
      <c r="B11" s="3"/>
    </row>
    <row r="12" spans="2:4">
      <c r="B12" s="3"/>
    </row>
    <row r="13" spans="2:4">
      <c r="B13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I25"/>
  <sheetViews>
    <sheetView topLeftCell="A36" zoomScale="85" zoomScaleNormal="85" workbookViewId="0">
      <selection activeCell="F28" sqref="F28"/>
    </sheetView>
  </sheetViews>
  <sheetFormatPr defaultRowHeight="16.5"/>
  <cols>
    <col min="2" max="2" width="13.75" bestFit="1" customWidth="1"/>
    <col min="3" max="3" width="5.5" bestFit="1" customWidth="1"/>
    <col min="4" max="5" width="9.25" bestFit="1" customWidth="1"/>
    <col min="6" max="6" width="27.625" bestFit="1" customWidth="1"/>
    <col min="8" max="8" width="46.375" bestFit="1" customWidth="1"/>
    <col min="9" max="9" width="28.5" customWidth="1"/>
  </cols>
  <sheetData>
    <row r="3" spans="2:9" ht="31.5">
      <c r="F3" s="4" t="s">
        <v>27</v>
      </c>
    </row>
    <row r="5" spans="2:9">
      <c r="B5" s="2" t="s">
        <v>49</v>
      </c>
      <c r="C5" s="2" t="s">
        <v>11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</row>
    <row r="6" spans="2:9">
      <c r="B6" s="3" t="s">
        <v>17</v>
      </c>
      <c r="C6" s="3">
        <v>1</v>
      </c>
      <c r="D6" s="3">
        <v>100</v>
      </c>
      <c r="E6" s="3">
        <v>1</v>
      </c>
      <c r="F6" t="s">
        <v>22</v>
      </c>
      <c r="G6" s="3" t="s">
        <v>63</v>
      </c>
      <c r="H6" t="s">
        <v>37</v>
      </c>
      <c r="I6" s="5" t="s">
        <v>26</v>
      </c>
    </row>
    <row r="7" spans="2:9">
      <c r="B7" s="3" t="s">
        <v>18</v>
      </c>
      <c r="C7" s="3">
        <v>2</v>
      </c>
      <c r="D7" s="3">
        <v>200</v>
      </c>
      <c r="E7" s="3">
        <v>2</v>
      </c>
      <c r="F7" t="s">
        <v>23</v>
      </c>
      <c r="G7" s="3" t="s">
        <v>63</v>
      </c>
      <c r="H7" t="s">
        <v>38</v>
      </c>
      <c r="I7" s="5" t="s">
        <v>26</v>
      </c>
    </row>
    <row r="8" spans="2:9">
      <c r="B8" s="3" t="s">
        <v>19</v>
      </c>
      <c r="C8" s="3">
        <v>3</v>
      </c>
      <c r="D8" s="3">
        <v>350</v>
      </c>
      <c r="E8" s="3">
        <v>3</v>
      </c>
      <c r="F8" t="s">
        <v>24</v>
      </c>
      <c r="G8" s="3" t="s">
        <v>63</v>
      </c>
      <c r="H8" t="s">
        <v>39</v>
      </c>
      <c r="I8" s="5" t="s">
        <v>26</v>
      </c>
    </row>
    <row r="9" spans="2:9">
      <c r="B9" s="3" t="s">
        <v>40</v>
      </c>
      <c r="C9" s="3">
        <v>4</v>
      </c>
      <c r="D9" s="3">
        <v>550</v>
      </c>
      <c r="E9" s="3">
        <v>5</v>
      </c>
      <c r="F9" t="s">
        <v>42</v>
      </c>
      <c r="G9" s="3" t="s">
        <v>63</v>
      </c>
      <c r="H9" t="s">
        <v>41</v>
      </c>
      <c r="I9" s="5" t="s">
        <v>58</v>
      </c>
    </row>
    <row r="10" spans="2:9">
      <c r="B10" s="3" t="s">
        <v>65</v>
      </c>
      <c r="C10" s="3">
        <v>5</v>
      </c>
      <c r="D10" s="3">
        <v>800</v>
      </c>
      <c r="E10" s="3">
        <v>7</v>
      </c>
      <c r="F10" t="s">
        <v>66</v>
      </c>
      <c r="G10" s="3" t="s">
        <v>63</v>
      </c>
      <c r="H10" t="s">
        <v>67</v>
      </c>
      <c r="I10" s="5" t="s">
        <v>68</v>
      </c>
    </row>
    <row r="11" spans="2:9">
      <c r="B11" s="3"/>
      <c r="C11" s="3"/>
      <c r="D11" s="3"/>
      <c r="E11" s="3"/>
      <c r="G11" s="3"/>
      <c r="I11" s="5"/>
    </row>
    <row r="12" spans="2:9">
      <c r="B12" s="3" t="s">
        <v>28</v>
      </c>
      <c r="C12" s="3">
        <v>1</v>
      </c>
      <c r="D12" s="3">
        <v>100</v>
      </c>
      <c r="E12" s="3">
        <v>1</v>
      </c>
      <c r="F12" t="s">
        <v>33</v>
      </c>
      <c r="G12" s="3" t="s">
        <v>80</v>
      </c>
      <c r="H12" t="s">
        <v>44</v>
      </c>
      <c r="I12" s="5" t="s">
        <v>59</v>
      </c>
    </row>
    <row r="13" spans="2:9">
      <c r="B13" s="3" t="s">
        <v>29</v>
      </c>
      <c r="C13" s="3">
        <v>2</v>
      </c>
      <c r="D13" s="3">
        <v>200</v>
      </c>
      <c r="E13" s="3">
        <v>2</v>
      </c>
      <c r="F13" t="s">
        <v>34</v>
      </c>
      <c r="G13" s="3" t="s">
        <v>80</v>
      </c>
      <c r="H13" t="s">
        <v>45</v>
      </c>
      <c r="I13" s="5" t="s">
        <v>59</v>
      </c>
    </row>
    <row r="14" spans="2:9">
      <c r="B14" s="3" t="s">
        <v>30</v>
      </c>
      <c r="C14" s="3">
        <v>3</v>
      </c>
      <c r="D14" s="3">
        <v>350</v>
      </c>
      <c r="E14" s="3">
        <v>3</v>
      </c>
      <c r="F14" t="s">
        <v>35</v>
      </c>
      <c r="G14" s="3" t="s">
        <v>80</v>
      </c>
      <c r="H14" t="s">
        <v>46</v>
      </c>
      <c r="I14" s="5" t="s">
        <v>59</v>
      </c>
    </row>
    <row r="15" spans="2:9">
      <c r="B15" s="3" t="s">
        <v>31</v>
      </c>
      <c r="C15" s="3">
        <v>4</v>
      </c>
      <c r="D15" s="3">
        <v>550</v>
      </c>
      <c r="E15" s="3">
        <v>5</v>
      </c>
      <c r="F15" t="s">
        <v>35</v>
      </c>
      <c r="G15" s="3" t="s">
        <v>80</v>
      </c>
      <c r="H15" t="s">
        <v>47</v>
      </c>
      <c r="I15" s="5" t="s">
        <v>60</v>
      </c>
    </row>
    <row r="16" spans="2:9">
      <c r="B16" s="3" t="s">
        <v>32</v>
      </c>
      <c r="C16" s="3">
        <v>5</v>
      </c>
      <c r="D16" s="3">
        <v>800</v>
      </c>
      <c r="E16" s="3">
        <v>7</v>
      </c>
      <c r="F16" t="s">
        <v>36</v>
      </c>
      <c r="G16" s="3" t="s">
        <v>80</v>
      </c>
      <c r="H16" t="s">
        <v>48</v>
      </c>
      <c r="I16" s="5" t="s">
        <v>61</v>
      </c>
    </row>
    <row r="17" spans="1:9">
      <c r="I17" s="5"/>
    </row>
    <row r="18" spans="1:9">
      <c r="B18" s="3" t="s">
        <v>62</v>
      </c>
      <c r="C18" s="3">
        <v>1</v>
      </c>
      <c r="D18" s="3">
        <v>100</v>
      </c>
      <c r="E18" s="3">
        <v>1</v>
      </c>
      <c r="F18" t="s">
        <v>69</v>
      </c>
      <c r="G18" s="3" t="s">
        <v>56</v>
      </c>
      <c r="H18" t="s">
        <v>76</v>
      </c>
      <c r="I18" s="5" t="s">
        <v>74</v>
      </c>
    </row>
    <row r="19" spans="1:9">
      <c r="B19" s="3" t="s">
        <v>64</v>
      </c>
      <c r="C19" s="3">
        <v>2</v>
      </c>
      <c r="D19" s="3">
        <v>200</v>
      </c>
      <c r="E19" s="3">
        <v>2</v>
      </c>
      <c r="F19" t="s">
        <v>70</v>
      </c>
      <c r="G19" s="3" t="s">
        <v>56</v>
      </c>
      <c r="H19" t="s">
        <v>77</v>
      </c>
      <c r="I19" s="5" t="s">
        <v>74</v>
      </c>
    </row>
    <row r="20" spans="1:9">
      <c r="B20" s="3" t="s">
        <v>72</v>
      </c>
      <c r="C20" s="3">
        <v>3</v>
      </c>
      <c r="D20" s="3">
        <v>350</v>
      </c>
      <c r="E20" s="3">
        <v>3</v>
      </c>
      <c r="F20" t="s">
        <v>73</v>
      </c>
      <c r="G20" s="3" t="s">
        <v>56</v>
      </c>
      <c r="H20" t="s">
        <v>78</v>
      </c>
      <c r="I20" s="5" t="s">
        <v>74</v>
      </c>
    </row>
    <row r="21" spans="1:9">
      <c r="B21" s="3" t="s">
        <v>20</v>
      </c>
      <c r="C21" s="3">
        <v>4</v>
      </c>
      <c r="D21" s="3">
        <v>550</v>
      </c>
      <c r="E21" s="3">
        <v>5</v>
      </c>
      <c r="F21" t="s">
        <v>71</v>
      </c>
      <c r="G21" s="3" t="s">
        <v>56</v>
      </c>
      <c r="H21" t="s">
        <v>79</v>
      </c>
      <c r="I21" s="5" t="s">
        <v>75</v>
      </c>
    </row>
    <row r="22" spans="1:9">
      <c r="B22" s="3" t="s">
        <v>21</v>
      </c>
      <c r="C22" s="3">
        <v>5</v>
      </c>
      <c r="D22" s="3">
        <v>800</v>
      </c>
      <c r="E22" s="3">
        <v>7</v>
      </c>
      <c r="F22" t="s">
        <v>25</v>
      </c>
      <c r="G22" s="3" t="s">
        <v>56</v>
      </c>
      <c r="H22" t="s">
        <v>43</v>
      </c>
      <c r="I22" s="5" t="s">
        <v>57</v>
      </c>
    </row>
    <row r="24" spans="1:9" ht="49.5">
      <c r="A24" t="s">
        <v>86</v>
      </c>
      <c r="B24" s="3" t="s">
        <v>81</v>
      </c>
      <c r="C24" s="3">
        <v>0</v>
      </c>
      <c r="D24" s="3">
        <v>100</v>
      </c>
      <c r="E24" t="s">
        <v>82</v>
      </c>
      <c r="F24" t="s">
        <v>83</v>
      </c>
      <c r="G24" s="3" t="s">
        <v>84</v>
      </c>
      <c r="H24" s="3" t="s">
        <v>85</v>
      </c>
      <c r="I24" s="6" t="s">
        <v>88</v>
      </c>
    </row>
    <row r="25" spans="1:9">
      <c r="A25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level 별 점수체계</vt:lpstr>
      <vt:lpstr>콤보</vt:lpstr>
      <vt:lpstr>아이템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zzang</dc:creator>
  <cp:lastModifiedBy>Haelee</cp:lastModifiedBy>
  <dcterms:created xsi:type="dcterms:W3CDTF">2010-11-03T11:34:56Z</dcterms:created>
  <dcterms:modified xsi:type="dcterms:W3CDTF">2012-05-22T12:56:32Z</dcterms:modified>
</cp:coreProperties>
</file>